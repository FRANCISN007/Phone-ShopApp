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19200" windowHeight="11505" activeTab="2"/>
  </bookViews>
  <sheets>
    <sheet name="CAL" sheetId="1" r:id="rId1"/>
    <sheet name="DEC" sheetId="2" r:id="rId2"/>
    <sheet name="JA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3" l="1"/>
  <c r="G15" i="3"/>
  <c r="G7" i="3"/>
  <c r="G273" i="2" l="1"/>
  <c r="C276" i="3"/>
  <c r="E276" i="3"/>
  <c r="D276" i="3"/>
  <c r="G272" i="3"/>
  <c r="G263" i="3"/>
  <c r="G255" i="3"/>
  <c r="G245" i="3"/>
  <c r="G234" i="3"/>
  <c r="G225" i="3"/>
  <c r="G217" i="3"/>
  <c r="G214" i="3"/>
  <c r="G208" i="3"/>
  <c r="G202" i="3"/>
  <c r="G197" i="3"/>
  <c r="G187" i="3"/>
  <c r="G176" i="3"/>
  <c r="G166" i="3"/>
  <c r="G157" i="3"/>
  <c r="G151" i="3"/>
  <c r="G138" i="3"/>
  <c r="G125" i="3"/>
  <c r="G115" i="3"/>
  <c r="G107" i="3"/>
  <c r="G99" i="3"/>
  <c r="G88" i="3"/>
  <c r="G81" i="3"/>
  <c r="G71" i="3"/>
  <c r="G64" i="3"/>
  <c r="G55" i="3"/>
  <c r="G46" i="3"/>
  <c r="G37" i="3"/>
  <c r="G33" i="3"/>
  <c r="G25" i="3"/>
  <c r="G263" i="2"/>
  <c r="G255" i="2"/>
  <c r="F4" i="3" l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F244" i="3" s="1"/>
  <c r="F245" i="3" s="1"/>
  <c r="F246" i="3" s="1"/>
  <c r="F247" i="3" s="1"/>
  <c r="F248" i="3" s="1"/>
  <c r="F249" i="3" s="1"/>
  <c r="F250" i="3" s="1"/>
  <c r="F251" i="3" s="1"/>
  <c r="F252" i="3" s="1"/>
  <c r="F253" i="3" s="1"/>
  <c r="F254" i="3" s="1"/>
  <c r="F255" i="3" s="1"/>
  <c r="F256" i="3" s="1"/>
  <c r="F257" i="3" s="1"/>
  <c r="F258" i="3" s="1"/>
  <c r="F259" i="3" s="1"/>
  <c r="F260" i="3" s="1"/>
  <c r="F261" i="3" s="1"/>
  <c r="F262" i="3" s="1"/>
  <c r="F263" i="3" s="1"/>
  <c r="F264" i="3" s="1"/>
  <c r="F265" i="3" s="1"/>
  <c r="F266" i="3" s="1"/>
  <c r="F267" i="3" s="1"/>
  <c r="F268" i="3" s="1"/>
  <c r="F269" i="3" s="1"/>
  <c r="F270" i="3" s="1"/>
  <c r="F271" i="3" s="1"/>
  <c r="F272" i="3" s="1"/>
  <c r="F274" i="3" s="1"/>
  <c r="F275" i="3" s="1"/>
  <c r="F276" i="3" s="1"/>
  <c r="G217" i="2"/>
  <c r="G245" i="2"/>
  <c r="G234" i="2" l="1"/>
  <c r="G225" i="2" l="1"/>
  <c r="G214" i="2" l="1"/>
  <c r="G208" i="2"/>
  <c r="G202" i="2" l="1"/>
  <c r="G197" i="2"/>
  <c r="G187" i="2"/>
  <c r="G176" i="2" l="1"/>
  <c r="G166" i="2" l="1"/>
  <c r="G151" i="2" l="1"/>
  <c r="G157" i="2"/>
  <c r="G138" i="2" l="1"/>
  <c r="F2" i="1" l="1"/>
  <c r="G125" i="2"/>
  <c r="G115" i="2"/>
  <c r="C92" i="1" l="1"/>
  <c r="G2" i="1" s="1"/>
  <c r="D92" i="1"/>
  <c r="B92" i="1"/>
  <c r="H2" i="1" l="1"/>
  <c r="H4" i="1" s="1"/>
  <c r="G107" i="2"/>
  <c r="G99" i="2"/>
  <c r="G88" i="2"/>
  <c r="G81" i="2"/>
  <c r="G71" i="2"/>
  <c r="G64" i="2"/>
  <c r="G55" i="2"/>
  <c r="G46" i="2"/>
  <c r="G37" i="2"/>
  <c r="G33" i="2"/>
  <c r="G25" i="2"/>
  <c r="G11" i="2"/>
  <c r="D276" i="2"/>
  <c r="E276" i="2" l="1"/>
  <c r="C276" i="2"/>
  <c r="F4" i="2"/>
  <c r="F5" i="2" l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l="1"/>
  <c r="F57" i="2" s="1"/>
  <c r="F58" i="2" s="1"/>
  <c r="F59" i="2" s="1"/>
  <c r="F60" i="2" s="1"/>
  <c r="F61" i="2" l="1"/>
  <c r="F62" i="2" s="1"/>
  <c r="F63" i="2" s="1"/>
  <c r="F64" i="2" s="1"/>
  <c r="F65" i="2" s="1"/>
  <c r="F66" i="2" l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l="1"/>
  <c r="F112" i="2" l="1"/>
  <c r="F113" i="2" s="1"/>
  <c r="F114" i="2" l="1"/>
  <c r="F115" i="2" l="1"/>
  <c r="F116" i="2" s="1"/>
  <c r="F117" i="2" s="1"/>
  <c r="F118" i="2" s="1"/>
  <c r="F119" i="2" s="1"/>
  <c r="F120" i="2" s="1"/>
  <c r="F121" i="2" s="1"/>
  <c r="F122" i="2" l="1"/>
  <c r="F123" i="2" s="1"/>
  <c r="F124" i="2" s="1"/>
  <c r="F125" i="2" s="1"/>
  <c r="F126" i="2" s="1"/>
  <c r="F127" i="2" s="1"/>
  <c r="F128" i="2" s="1"/>
  <c r="F129" i="2" s="1"/>
  <c r="F130" i="2" l="1"/>
  <c r="F131" i="2" s="1"/>
  <c r="F132" i="2" l="1"/>
  <c r="F133" i="2" l="1"/>
  <c r="F134" i="2" s="1"/>
  <c r="F135" i="2" s="1"/>
  <c r="F136" i="2" l="1"/>
  <c r="F137" i="2" s="1"/>
  <c r="F138" i="2" l="1"/>
  <c r="F139" i="2" l="1"/>
  <c r="F140" i="2" s="1"/>
  <c r="F141" i="2" s="1"/>
  <c r="F142" i="2" s="1"/>
  <c r="F143" i="2" s="1"/>
  <c r="F144" i="2" s="1"/>
  <c r="F145" i="2" s="1"/>
  <c r="F146" i="2" s="1"/>
  <c r="F147" i="2" l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l="1"/>
  <c r="F168" i="2" s="1"/>
  <c r="F169" i="2" s="1"/>
  <c r="F170" i="2" s="1"/>
  <c r="F171" i="2" s="1"/>
  <c r="F172" i="2" s="1"/>
  <c r="F173" i="2" s="1"/>
  <c r="F174" i="2" s="1"/>
  <c r="F175" i="2" s="1"/>
  <c r="F176" i="2" s="1"/>
  <c r="F177" i="2" l="1"/>
  <c r="F178" i="2" s="1"/>
  <c r="F179" i="2" s="1"/>
  <c r="F180" i="2" s="1"/>
  <c r="F181" i="2" s="1"/>
  <c r="F182" i="2" s="1"/>
  <c r="F183" i="2" s="1"/>
  <c r="F184" i="2" l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l="1"/>
  <c r="F236" i="2" s="1"/>
  <c r="F237" i="2" s="1"/>
  <c r="F238" i="2" s="1"/>
  <c r="F239" i="2" s="1"/>
  <c r="F240" i="2" s="1"/>
  <c r="F241" i="2" l="1"/>
  <c r="F242" i="2" s="1"/>
  <c r="F243" i="2" s="1"/>
  <c r="F244" i="2" l="1"/>
  <c r="F245" i="2" l="1"/>
  <c r="F246" i="2" s="1"/>
  <c r="F247" i="2" s="1"/>
  <c r="F248" i="2" s="1"/>
  <c r="F249" i="2" l="1"/>
  <c r="F250" i="2" s="1"/>
  <c r="F251" i="2" s="1"/>
  <c r="F252" i="2" s="1"/>
  <c r="F253" i="2" l="1"/>
  <c r="F254" i="2" l="1"/>
  <c r="F255" i="2" l="1"/>
  <c r="F256" i="2" l="1"/>
  <c r="F257" i="2" s="1"/>
  <c r="F258" i="2" s="1"/>
  <c r="F259" i="2" l="1"/>
  <c r="F260" i="2" s="1"/>
  <c r="F261" i="2" l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l="1"/>
  <c r="F276" i="2" l="1"/>
</calcChain>
</file>

<file path=xl/sharedStrings.xml><?xml version="1.0" encoding="utf-8"?>
<sst xmlns="http://schemas.openxmlformats.org/spreadsheetml/2006/main" count="546" uniqueCount="233">
  <si>
    <t>IMPRESS ACCOUNT FOR THE MONTH OF DEC 2023</t>
  </si>
  <si>
    <t>DATE</t>
  </si>
  <si>
    <t>DESCRIPTION</t>
  </si>
  <si>
    <t>AMT RECEIVD</t>
  </si>
  <si>
    <t>AMT DISBURSED</t>
  </si>
  <si>
    <t>Running Bal.</t>
  </si>
  <si>
    <t>Bal. B/F from NOV 2023</t>
  </si>
  <si>
    <t>CASH SALES</t>
  </si>
  <si>
    <t>CASH TO AKA TO MKT/DIRECTOR</t>
  </si>
  <si>
    <t>REPAIR OF CAKE CHILLER SOCKET/ADAMU</t>
  </si>
  <si>
    <t>CASH TO FLORENCE TO MKT</t>
  </si>
  <si>
    <t>TRANSPORT TO DICKSON FOR WAYBILL</t>
  </si>
  <si>
    <t>CASH TO VICTORY FOR LIGHTER</t>
  </si>
  <si>
    <t>TRANS TO ADAMU TO MKT</t>
  </si>
  <si>
    <t>CASH TO DICKSON FOR TAKE AWAY PACK</t>
  </si>
  <si>
    <t>TRANS TO DICKSON TO HOTEL</t>
  </si>
  <si>
    <t>PURCH OF PALM OIL/AYO</t>
  </si>
  <si>
    <t>TRANS TO FILL GAS</t>
  </si>
  <si>
    <t>CASH FOR KNIFE SHARPENING</t>
  </si>
  <si>
    <t>TRANS TO SUPER TO MKT</t>
  </si>
  <si>
    <t>TRANS TO DICKSON TO MKT</t>
  </si>
  <si>
    <t>K-LOUNGE KITCHEN &amp; PASTRY</t>
  </si>
  <si>
    <t>CASH DEPOSIT</t>
  </si>
  <si>
    <t>CASH FOR MILK FOR ICE CREAM</t>
  </si>
  <si>
    <t>CSH TO DICKSON FOR WATER &amp; KETCHUP</t>
  </si>
  <si>
    <t>PURCH OF MILK BY AKA FOR DOUGHNUT</t>
  </si>
  <si>
    <t>CASH TO FAVOUR FOR BAMA</t>
  </si>
  <si>
    <t>CSH TO FLORENCE FOR SPAGHETTI &amp;YAM</t>
  </si>
  <si>
    <t>PURCH OF TOOTPICK</t>
  </si>
  <si>
    <t>CASH TO FLORENCE TO MKT/MKT</t>
  </si>
  <si>
    <t>CASH TO ADAMU FOR PACK OF WATER</t>
  </si>
  <si>
    <t>TRANSPORT TO DICKSON TO HOTEL</t>
  </si>
  <si>
    <t>PURCH OF 6 PACKS OF WATER</t>
  </si>
  <si>
    <t>CASH TO AKA FOR MILK DOUGHNUT</t>
  </si>
  <si>
    <t>PURCH OF 1 ROLL OF POS PAPER</t>
  </si>
  <si>
    <t>CASH TO AKA FOR WAYBILL RECEIPT</t>
  </si>
  <si>
    <t>CSH TO BELLA FOR FUEL/DIRECTOR</t>
  </si>
  <si>
    <t>PURCH OF EGG BY AKA/BAKERY</t>
  </si>
  <si>
    <t>CSH TO FAVOUR FOR DETERGENT/BAKERY</t>
  </si>
  <si>
    <t>CSH TO FLORENCE FOR EGG/KITCHEN</t>
  </si>
  <si>
    <t>PURCH OF TAKEAWAY NYLON(3)</t>
  </si>
  <si>
    <t>PURCH OF DISPOSABLE NET CAP</t>
  </si>
  <si>
    <t>PURCH OF ICE CREAM CUP &amp; SPOON</t>
  </si>
  <si>
    <t>PURCH OF DISPOSABLE GLOVE (SNACKS)</t>
  </si>
  <si>
    <t>TRANS TO ADAMU FOR FUEL CARRIAGE</t>
  </si>
  <si>
    <t>PURCH OF DETERGENT SOAP</t>
  </si>
  <si>
    <t>CSH TO DICKSON  FOIL PAPER &amp; KETCHUP</t>
  </si>
  <si>
    <t xml:space="preserve">CASH TO AKA FOR EGGS/COLLINS </t>
  </si>
  <si>
    <t>CASH TO COLLINS TO POLICE STATION/DIR</t>
  </si>
  <si>
    <t xml:space="preserve">PURCH OF NOTEBOOK </t>
  </si>
  <si>
    <t>CASH FOR TOMATO GRINDING &amp; TF</t>
  </si>
  <si>
    <t>CASH TO VICTORY FOR DETERGENT</t>
  </si>
  <si>
    <t>CASH TO AYO FOR OKRO &amp; CARROT</t>
  </si>
  <si>
    <t>PYMT FOR VIGILANTEE FOR DEC</t>
  </si>
  <si>
    <t>RECHARGE CARD TO MANAGER</t>
  </si>
  <si>
    <t>PURCH OF DETERGENT/KITCHEN &amp; BAKERY</t>
  </si>
  <si>
    <t>PURCH OF FOIL PAPER</t>
  </si>
  <si>
    <t>CASH TO SUPER FOR WAYBILL TO ABK</t>
  </si>
  <si>
    <t>PURCH OF TAKEAWAY NYLON(3) /DICKSON</t>
  </si>
  <si>
    <t>PURCH OF SHAWAMA BREAD /DICKSON</t>
  </si>
  <si>
    <t>TRANS TO MKT BY DICKSON</t>
  </si>
  <si>
    <t>CASH TO AYO FOR PALM OIL</t>
  </si>
  <si>
    <t>CSH TO ELECTRO FOR BAKERY FAN REPAIR</t>
  </si>
  <si>
    <t>PURCH OF PRINTER PAPER(BIG) 1 ROLL</t>
  </si>
  <si>
    <t>PURCH OF POS PAPER 3 ROLL</t>
  </si>
  <si>
    <t>PURCH OF HARD COVER BOOK /AUDITORS</t>
  </si>
  <si>
    <t>PYMT OF WASTE DISPOSAL/ NOV(HALF MNT)</t>
  </si>
  <si>
    <t>CASH TO RUNOR FOR SOAP/DIRECTOR</t>
  </si>
  <si>
    <t>CASH TO DICKSON FOR KEKE FRM MKT</t>
  </si>
  <si>
    <t>TRANS TO MGR TO MKT &amp; DETERGENT</t>
  </si>
  <si>
    <t>CASH TO AYO FOR UGU LEAF &amp; CABBAGE</t>
  </si>
  <si>
    <t>PURCH OF RIPE PLANTAIN &amp; TRANS/AYO</t>
  </si>
  <si>
    <t>CASH TO VICTORY FOR GARRI(1/2 BASIN)</t>
  </si>
  <si>
    <t>TRANS TO ADAMU FOR GEN MOVT TO ABK</t>
  </si>
  <si>
    <t>PURCH OF CARROT</t>
  </si>
  <si>
    <t>CSH TO ADAMU FOR BEMARINE LIGHT/DIR</t>
  </si>
  <si>
    <t>PURCH OF RUBBER BAND</t>
  </si>
  <si>
    <t>SAL PAID TO FAVOUR</t>
  </si>
  <si>
    <t>PURCH OT TAKEAWAY NYLON</t>
  </si>
  <si>
    <t>PURCH OF FOIL PAPER &amp; TRANS</t>
  </si>
  <si>
    <t>PURCH OF ICE CREAM FLAVOUR</t>
  </si>
  <si>
    <t>CASH TO SUPER FOR ICE CREAM WAYBILL</t>
  </si>
  <si>
    <t>CASH TO SUPER FOR TRANS OF CHICKEN</t>
  </si>
  <si>
    <t>TRANS TO ADAMU FOR COCONUT/DIR</t>
  </si>
  <si>
    <t>CASH TO VINCENT FOR DIDIFOX FOR FLIES</t>
  </si>
  <si>
    <t>CASH TO AYO FOR PEPPER SOUP SPICE</t>
  </si>
  <si>
    <t>TRANS TO ADAMU TOLICENSE OFFICE/DIR</t>
  </si>
  <si>
    <t>TRANS TO ADAMU FOR DIESEL CARRIAGE</t>
  </si>
  <si>
    <t>TRANS TO FLORENCE TO MKT</t>
  </si>
  <si>
    <t>TRANS TO DICKSON TO AND FRO HOTEL</t>
  </si>
  <si>
    <t>PURCH OF PURE WATER NYLON</t>
  </si>
  <si>
    <r>
      <t xml:space="preserve">TO DICKSON FOR TAKEAWAY NYLON(4) </t>
    </r>
    <r>
      <rPr>
        <sz val="15"/>
        <color theme="1"/>
        <rFont val="Arial"/>
        <family val="2"/>
      </rPr>
      <t>@1500</t>
    </r>
  </si>
  <si>
    <t>PURCH OF ICE CREAM CUP &amp; SPOONS(100 PCS)</t>
  </si>
  <si>
    <t>TRANS TO MKT/ DICKSON</t>
  </si>
  <si>
    <t>POS</t>
  </si>
  <si>
    <t>TRF</t>
  </si>
  <si>
    <t>CARD</t>
  </si>
  <si>
    <t>POS-TRF</t>
  </si>
  <si>
    <t>TOTAL</t>
  </si>
  <si>
    <t>CASH</t>
  </si>
  <si>
    <t>BOOK</t>
  </si>
  <si>
    <t>PURCH OF NOTEBOOK FOR AARON</t>
  </si>
  <si>
    <t>TRANS TO MKT/ FLORENCE</t>
  </si>
  <si>
    <t xml:space="preserve">CASH TO SUPER FOR TOMATOES </t>
  </si>
  <si>
    <t>CASH TO VICTOR FOR CELLOPHINE</t>
  </si>
  <si>
    <t>CASH TO AKA FOR MILK FOR DOUGHNUT</t>
  </si>
  <si>
    <t>PURCH OF WATER BY SUPER(5 PACK)@1300</t>
  </si>
  <si>
    <t>CASH TO DICKSON FOR BIG NYLON &amp; SMALL</t>
  </si>
  <si>
    <t>PURCH OF FOIL PAPER/DICKSON</t>
  </si>
  <si>
    <t>PURCH OF BREAD NYLON(2) /TRANS</t>
  </si>
  <si>
    <t>TRANS TO MELVIN FOR DIESEL CARRIAGE</t>
  </si>
  <si>
    <t>CASH TO AKA FOR SCALE BATTERY</t>
  </si>
  <si>
    <t>CASH TO ADAMU FOR SYSTEM SOCKET(2)</t>
  </si>
  <si>
    <t>PURCH OF MILK FOR DOUGHNUT/AKA</t>
  </si>
  <si>
    <t>CASH TO DICKSON FOR WAYBILL FRM ABK</t>
  </si>
  <si>
    <t>PURCH OF CABBAGE FOR BAKERY</t>
  </si>
  <si>
    <t>CASH TO DIRECTOR</t>
  </si>
  <si>
    <t>CASH TO VICTORY FOR DRY PEPPER</t>
  </si>
  <si>
    <t>PURCH OF TAKEAWAY PACK/DICKSON</t>
  </si>
  <si>
    <t>WAYBILL RECVD FRM BENIN/SUPERVISOR</t>
  </si>
  <si>
    <t>PURCH OF IRON SPONGE FOR BAKERY</t>
  </si>
  <si>
    <t>TRANS TO HOTEL/DECORATION GUY</t>
  </si>
  <si>
    <t>CASH TO DICKSON FOR WAYBILL RECEIVED</t>
  </si>
  <si>
    <t>PURCH OF 2 BIRO &amp; OFFICE FILE &amp; TIP EX</t>
  </si>
  <si>
    <t>TRANS TO AND FRO/ MANAGER</t>
  </si>
  <si>
    <t>DATA SUBSCRIPTION FOR POS</t>
  </si>
  <si>
    <t>PURCH OF A4 RIM OF PAPER(75G)</t>
  </si>
  <si>
    <t>CASH TO AYO FOR TIN TOMATO</t>
  </si>
  <si>
    <t>CASH TO DICKSON FOR CABBAGE</t>
  </si>
  <si>
    <t>PURCH OF 2YARDS OF CABLE FOR GEN/ADAMU</t>
  </si>
  <si>
    <t>TRANS TO ADAMU TO PURCH CABLE</t>
  </si>
  <si>
    <t>CASH TO FLORENCE TO MKT &amp; TRANS/DIR</t>
  </si>
  <si>
    <t>CASH TO DICKSON FOR TAKEAWAY NYLON(3)</t>
  </si>
  <si>
    <t>CASH TO DICKOSN FOR BREAD NYLON(1)</t>
  </si>
  <si>
    <t>PURCH OF THANK YOU NYLON(1)</t>
  </si>
  <si>
    <t>PURCH OF SPOON AND ICE CREAM FLAVOUR</t>
  </si>
  <si>
    <t>TRANS TO DICKSONTO MKT/DIRECTOR</t>
  </si>
  <si>
    <t>CASH TO SUPERVICOR FOR 5 PACK OF WATER</t>
  </si>
  <si>
    <t>CASH TO SUPER FOR 2 PACK OF CAN COKE</t>
  </si>
  <si>
    <t>CASH TO SUPER FOR 2 PACK OF CAN SPRITE</t>
  </si>
  <si>
    <t>CASH TO SUPER FOR 1 PACK OF FANTA</t>
  </si>
  <si>
    <t xml:space="preserve">TRANS TO FILL AND CARRY GAS </t>
  </si>
  <si>
    <t>CASH TO DORIS TO MKT IN WARRI</t>
  </si>
  <si>
    <t>CASH TO DICKSON FOR SHAWARMA BREAD</t>
  </si>
  <si>
    <t>CASH TO DICKSON FOR 1 FOIL PAPER</t>
  </si>
  <si>
    <t>PURCH OF POS PAPER 2 ROLL</t>
  </si>
  <si>
    <t>PURCH OF CABBAGE FOR BAKERY/DICKSON</t>
  </si>
  <si>
    <t>TRANS TO MKT/DICKSON</t>
  </si>
  <si>
    <t>TRANS TO SUPERVISOR TO MKT/DRINKS</t>
  </si>
  <si>
    <t>CASH TO ENGINEER/SUPER</t>
  </si>
  <si>
    <t>CHANGE OF AC SOCKET/MANAGER</t>
  </si>
  <si>
    <t>CASH FOR HOTEL EXP</t>
  </si>
  <si>
    <t>CASH TO SUPERVISOR FOR 5 PACK OF WATER</t>
  </si>
  <si>
    <t>CASH TO VICTORY FOR GRINDING TOMATOES</t>
  </si>
  <si>
    <t>TRANS TO AND FRO/VICTORY</t>
  </si>
  <si>
    <t>CASH TO DICKSON FOR ICE CREAM CUP</t>
  </si>
  <si>
    <t>TRANS TO MARKET AND FLAVOUR/DICKSON</t>
  </si>
  <si>
    <t>CASH TO SUPERVISOR FOR ICE CREAM WAYBILL</t>
  </si>
  <si>
    <t>CASH TO ADAMU FOR PURCHASE OF FLEET</t>
  </si>
  <si>
    <t>CASH TO ADAMU FOR FUEL/DIRECTOR</t>
  </si>
  <si>
    <t>TRANS TO GENERATOR MAN/ADAMU</t>
  </si>
  <si>
    <t>CASH TO DICKSON FOR ICE CREAM FLAVOUR(4)</t>
  </si>
  <si>
    <t>TRANS TO HOTEL/MGR</t>
  </si>
  <si>
    <t>PURCHASE OF GAS LIGHTER</t>
  </si>
  <si>
    <t>CASH TO DICKSON FOR FOIL PAPER(3)</t>
  </si>
  <si>
    <t>CASH TO AKA TO WARRI/DIRECTOR</t>
  </si>
  <si>
    <t>CASH TO DICKSON FOR BIG ICE CREAM CUP</t>
  </si>
  <si>
    <t>CASH TO BELLA FOR TRANS/DIRECTOR</t>
  </si>
  <si>
    <t>CASH TO AKA FOR YEAST(2 PACK)</t>
  </si>
  <si>
    <t>CASH TO ADAMU IFO OVEN ENGINEER/TRANS</t>
  </si>
  <si>
    <t>CASH TO DICKSON FOR TRANS TO WAYBILL</t>
  </si>
  <si>
    <t>TRANS TO AKA TO MARKET</t>
  </si>
  <si>
    <t>CASH TO ADAMU FOR TRAN FOR COCONUT</t>
  </si>
  <si>
    <t>CASH TO FLORENCE FOR FRESH PEPPER</t>
  </si>
  <si>
    <t>CASH TO FLORENCE FOR UGU AND OKRO</t>
  </si>
  <si>
    <t>TRANS TO MARKET</t>
  </si>
  <si>
    <t>TRANS TO MRS DORIS</t>
  </si>
  <si>
    <t>PURCH OF LIGHT BULB FOR KITCHEN</t>
  </si>
  <si>
    <t>TRANS TO DICKSON TO CARRY DIESEL</t>
  </si>
  <si>
    <t>PURCH OF 2 GAS LIGHTER</t>
  </si>
  <si>
    <t>CASH TO SUPERVISOR FOR WAYBILL FRM ABK</t>
  </si>
  <si>
    <t>TRANS TO SUPERVISOR</t>
  </si>
  <si>
    <t>PURCH OF YEAST AND TRANS TO AKA</t>
  </si>
  <si>
    <t>PURCH OF UGU LEAF/AYO (24TH)</t>
  </si>
  <si>
    <t>TRANS TO DICKSON TO MKT(24TH)</t>
  </si>
  <si>
    <t>TRANS TO HOTEL/ SUPERVISOR</t>
  </si>
  <si>
    <t>CASH TO ADAMU FOR ICE CREAM MACHINE PLUG</t>
  </si>
  <si>
    <t>CASH TO DICKSON FOR SNACKS NYLON(3)</t>
  </si>
  <si>
    <t>PURCH OF ICE CREAM SPOON(3)</t>
  </si>
  <si>
    <t>CASH TO DICKSON FOR WAYBILL TO ABRAKA</t>
  </si>
  <si>
    <t>TRANS FOR KEKE TO CARRY BREAD TO HOTEL</t>
  </si>
  <si>
    <t>PURCHASE OF 2 POS PAPER</t>
  </si>
  <si>
    <t>CASH TO ADAMU FOR PADDLOCK FOR GEN(2)</t>
  </si>
  <si>
    <t>PURCH OF BOLT AND NUT AND KEY STAPLE</t>
  </si>
  <si>
    <t>PURCH OF GANA MUST GO BAG FOR PAPER(POS)</t>
  </si>
  <si>
    <t>CASH TO FLORENCE FOR WASHING SOAP</t>
  </si>
  <si>
    <t>CASH TO FLORENCE FOR PEPPER SOUP SPICE</t>
  </si>
  <si>
    <t>PURCHASE OF YEAST FOR BREAD/AKA(3)@2500</t>
  </si>
  <si>
    <t>PURCHASE OF POS PAPER BIG AND SMALL</t>
  </si>
  <si>
    <t>PURCH OF DIDIFOX FOR FLIES</t>
  </si>
  <si>
    <t>PURCH OF DRY PEPPER FOR SARDINE BREAD</t>
  </si>
  <si>
    <t>CASH TO HOTEL MGR/DIRECTOR</t>
  </si>
  <si>
    <t>CASH TO ADAMU FOR CANAL CLEARING/DIR</t>
  </si>
  <si>
    <t>TRANS TO DICKSON FOR WAYBILL TO ABK</t>
  </si>
  <si>
    <t>CASH TO DICKSON FOR NYLON(3)</t>
  </si>
  <si>
    <t>CASH TO DICKSON FOR KEKE TRANS TO HOTEL</t>
  </si>
  <si>
    <t>PURCH OF ICE CREAM FLAVOUR/TRANS</t>
  </si>
  <si>
    <t>CASH TO AYO TO MKT/SUPERVISOR</t>
  </si>
  <si>
    <t>TRANS TO AND FRO FOR GAS FILLING</t>
  </si>
  <si>
    <t>PURCH OF TOMATOES FOR BEANS/FLORENCE</t>
  </si>
  <si>
    <t>PURCH OF GARRI (HALF BASKET)</t>
  </si>
  <si>
    <t>CASH TO SUPER FOR FOOD CARRIAGE TO HOTEL</t>
  </si>
  <si>
    <t>CASH TO SUPERVISOR FOR TAKEAWAY PACKS</t>
  </si>
  <si>
    <t>CASH TO SUPERVISOR TO MKT FOR DRINKS</t>
  </si>
  <si>
    <t>CASH TO SONIA FOR TOMATO GRINDING</t>
  </si>
  <si>
    <t>CASH TO VINCENT FOR BAKING BRUSH</t>
  </si>
  <si>
    <t>CASH TO FLORENCE FOR OKRO</t>
  </si>
  <si>
    <t xml:space="preserve">PURCH OF PLANTAIN </t>
  </si>
  <si>
    <t>CASH TO FLORENCE FOR GREEN BEANS</t>
  </si>
  <si>
    <t>CASH TO VINCENT FOR BREAD NYLON(2)@3000</t>
  </si>
  <si>
    <t>PURCH OF UGU LEAF</t>
  </si>
  <si>
    <t>TRANS TO DICKSON FOR BREAD TO HOTEL</t>
  </si>
  <si>
    <t>CASH TO FAVOUR FOR NYLON</t>
  </si>
  <si>
    <t>IMPRESS ACCOUNT FOR THE MONTH OF JAN 2024</t>
  </si>
  <si>
    <t>Bal. B/F from DEC 2023</t>
  </si>
  <si>
    <t>REPAIR OF ELECTRIC HOT PLATE</t>
  </si>
  <si>
    <t>CASH TO DICKSON FOR NYLON(2)/ TRANS</t>
  </si>
  <si>
    <t>TRANS TO ADAMU FOR COCONUT</t>
  </si>
  <si>
    <t>CASH TO MRS DORIS/DIRECTOR</t>
  </si>
  <si>
    <t>CASH TO DICKSON TO BUY TIN TOMATO</t>
  </si>
  <si>
    <t>TRANS TO DICKSON TO MKT/KEKE</t>
  </si>
  <si>
    <t xml:space="preserve">TRANS TO HOTEL </t>
  </si>
  <si>
    <t>PURCH OF DETERGENT /ANGELA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</si>
</sst>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d\-mmm\-yy;@"/>
    <numFmt numFmtId="165" formatCode="_(* #,##0_);_(* \(#,##0\);_(* &quot;-&quot;??_);_(@_)"/>
  </numFmts>
  <fonts count="24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b/>
      <sz val="14"/>
      <color rgb="FF2913AD"/>
      <name val="Noto Color Emoji"/>
      <family val="2"/>
    </font>
    <font>
      <b/>
      <sz val="14"/>
      <color rgb="FF000000"/>
      <name val="Noto Color Emoji"/>
      <family val="2"/>
    </font>
    <font>
      <b/>
      <sz val="12"/>
      <color rgb="FFFF0000"/>
      <name val="Arial"/>
      <family val="2"/>
    </font>
    <font>
      <b/>
      <sz val="13"/>
      <color rgb="FFFF0000"/>
      <name val="Arial"/>
      <family val="2"/>
    </font>
    <font>
      <b/>
      <sz val="13"/>
      <color rgb="FF000000"/>
      <name val="Arial"/>
      <family val="2"/>
    </font>
    <font>
      <b/>
      <sz val="12"/>
      <color rgb="FF000000"/>
      <name val="Arial"/>
      <family val="2"/>
    </font>
    <font>
      <b/>
      <sz val="15"/>
      <color rgb="FF000080"/>
      <name val="Arial"/>
      <family val="2"/>
    </font>
    <font>
      <b/>
      <sz val="17"/>
      <color rgb="FF0000FF"/>
      <name val="Arial"/>
      <family val="2"/>
    </font>
    <font>
      <b/>
      <sz val="15"/>
      <color rgb="FF000000"/>
      <name val="Arial"/>
      <family val="2"/>
    </font>
    <font>
      <b/>
      <sz val="15"/>
      <color rgb="FFFF0000"/>
      <name val="Arial"/>
      <family val="2"/>
    </font>
    <font>
      <b/>
      <sz val="12"/>
      <name val="Arial"/>
      <family val="2"/>
    </font>
    <font>
      <b/>
      <sz val="15"/>
      <color theme="1"/>
      <name val="Arial"/>
      <family val="2"/>
    </font>
    <font>
      <b/>
      <sz val="17"/>
      <color theme="1"/>
      <name val="Arial"/>
      <family val="2"/>
    </font>
    <font>
      <b/>
      <sz val="14"/>
      <color theme="1"/>
      <name val="Arial"/>
      <family val="2"/>
    </font>
    <font>
      <sz val="12"/>
      <color rgb="FF800000"/>
      <name val="Arial"/>
      <family val="2"/>
    </font>
    <font>
      <b/>
      <sz val="16"/>
      <color rgb="FFFFFFFF"/>
      <name val="Arial"/>
      <family val="2"/>
    </font>
    <font>
      <b/>
      <sz val="15"/>
      <color rgb="FFFFFFFF"/>
      <name val="Arial"/>
      <family val="2"/>
    </font>
    <font>
      <sz val="11"/>
      <color theme="1"/>
      <name val="Calibri"/>
      <family val="2"/>
      <scheme val="minor"/>
    </font>
    <font>
      <sz val="15"/>
      <color theme="1"/>
      <name val="Arial"/>
      <family val="2"/>
    </font>
    <font>
      <b/>
      <sz val="11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43" fontId="20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/>
    <xf numFmtId="0" fontId="1" fillId="0" borderId="0" xfId="1"/>
    <xf numFmtId="0" fontId="5" fillId="2" borderId="1" xfId="1" applyFont="1" applyFill="1" applyBorder="1"/>
    <xf numFmtId="0" fontId="6" fillId="2" borderId="2" xfId="1" applyFont="1" applyFill="1" applyBorder="1"/>
    <xf numFmtId="0" fontId="6" fillId="2" borderId="2" xfId="1" applyFont="1" applyFill="1" applyBorder="1" applyAlignment="1">
      <alignment horizontal="right" wrapText="1"/>
    </xf>
    <xf numFmtId="0" fontId="6" fillId="2" borderId="2" xfId="1" applyFont="1" applyFill="1" applyBorder="1" applyAlignment="1">
      <alignment horizontal="center" vertical="center" wrapText="1"/>
    </xf>
    <xf numFmtId="0" fontId="7" fillId="0" borderId="0" xfId="1" applyFont="1"/>
    <xf numFmtId="164" fontId="8" fillId="0" borderId="3" xfId="1" applyNumberFormat="1" applyFont="1" applyBorder="1" applyAlignment="1">
      <alignment horizontal="left" vertical="top"/>
    </xf>
    <xf numFmtId="0" fontId="9" fillId="0" borderId="3" xfId="1" applyFont="1" applyBorder="1"/>
    <xf numFmtId="165" fontId="10" fillId="0" borderId="3" xfId="1" applyNumberFormat="1" applyFont="1" applyBorder="1" applyAlignment="1">
      <alignment horizontal="center" vertical="center"/>
    </xf>
    <xf numFmtId="165" fontId="11" fillId="0" borderId="3" xfId="1" applyNumberFormat="1" applyFont="1" applyBorder="1" applyAlignment="1">
      <alignment horizontal="center" vertical="center"/>
    </xf>
    <xf numFmtId="165" fontId="12" fillId="0" borderId="3" xfId="1" applyNumberFormat="1" applyFont="1" applyBorder="1"/>
    <xf numFmtId="165" fontId="11" fillId="0" borderId="4" xfId="1" applyNumberFormat="1" applyFont="1" applyBorder="1" applyAlignment="1">
      <alignment horizontal="center" vertical="center"/>
    </xf>
    <xf numFmtId="165" fontId="1" fillId="0" borderId="0" xfId="1" applyNumberFormat="1"/>
    <xf numFmtId="164" fontId="13" fillId="0" borderId="5" xfId="1" applyNumberFormat="1" applyFont="1" applyBorder="1" applyAlignment="1">
      <alignment horizontal="left" vertical="top"/>
    </xf>
    <xf numFmtId="0" fontId="14" fillId="0" borderId="3" xfId="1" applyFont="1" applyBorder="1"/>
    <xf numFmtId="165" fontId="15" fillId="0" borderId="3" xfId="1" applyNumberFormat="1" applyFont="1" applyBorder="1" applyAlignment="1">
      <alignment horizontal="center" vertical="center"/>
    </xf>
    <xf numFmtId="165" fontId="16" fillId="3" borderId="4" xfId="1" applyNumberFormat="1" applyFont="1" applyFill="1" applyBorder="1"/>
    <xf numFmtId="165" fontId="14" fillId="0" borderId="4" xfId="1" applyNumberFormat="1" applyFont="1" applyBorder="1"/>
    <xf numFmtId="0" fontId="17" fillId="4" borderId="1" xfId="1" applyFont="1" applyFill="1" applyBorder="1"/>
    <xf numFmtId="0" fontId="12" fillId="4" borderId="2" xfId="1" applyFont="1" applyFill="1" applyBorder="1"/>
    <xf numFmtId="165" fontId="18" fillId="4" borderId="5" xfId="1" applyNumberFormat="1" applyFont="1" applyFill="1" applyBorder="1"/>
    <xf numFmtId="165" fontId="19" fillId="4" borderId="6" xfId="1" applyNumberFormat="1" applyFont="1" applyFill="1" applyBorder="1"/>
    <xf numFmtId="0" fontId="6" fillId="5" borderId="2" xfId="1" applyFont="1" applyFill="1" applyBorder="1" applyAlignment="1">
      <alignment horizontal="right" wrapText="1"/>
    </xf>
    <xf numFmtId="165" fontId="10" fillId="5" borderId="3" xfId="1" applyNumberFormat="1" applyFont="1" applyFill="1" applyBorder="1" applyAlignment="1">
      <alignment horizontal="center" vertical="center"/>
    </xf>
    <xf numFmtId="165" fontId="15" fillId="5" borderId="3" xfId="1" applyNumberFormat="1" applyFont="1" applyFill="1" applyBorder="1" applyAlignment="1">
      <alignment horizontal="center" vertical="center"/>
    </xf>
    <xf numFmtId="165" fontId="16" fillId="5" borderId="4" xfId="1" applyNumberFormat="1" applyFont="1" applyFill="1" applyBorder="1"/>
    <xf numFmtId="0" fontId="0" fillId="0" borderId="7" xfId="0" applyBorder="1"/>
    <xf numFmtId="165" fontId="0" fillId="0" borderId="0" xfId="0" applyNumberFormat="1"/>
    <xf numFmtId="165" fontId="0" fillId="0" borderId="3" xfId="2" applyNumberFormat="1" applyFont="1" applyBorder="1"/>
    <xf numFmtId="165" fontId="0" fillId="0" borderId="4" xfId="2" applyNumberFormat="1" applyFont="1" applyBorder="1"/>
    <xf numFmtId="165" fontId="0" fillId="0" borderId="7" xfId="2" applyNumberFormat="1" applyFont="1" applyBorder="1"/>
    <xf numFmtId="0" fontId="22" fillId="6" borderId="9" xfId="0" applyFont="1" applyFill="1" applyBorder="1" applyAlignment="1">
      <alignment horizontal="left" indent="1"/>
    </xf>
    <xf numFmtId="0" fontId="22" fillId="6" borderId="5" xfId="0" applyFont="1" applyFill="1" applyBorder="1" applyAlignment="1">
      <alignment horizontal="left" indent="1"/>
    </xf>
    <xf numFmtId="165" fontId="23" fillId="6" borderId="8" xfId="2" applyNumberFormat="1" applyFont="1" applyFill="1" applyBorder="1"/>
    <xf numFmtId="165" fontId="23" fillId="6" borderId="0" xfId="0" applyNumberFormat="1" applyFont="1" applyFill="1"/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93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F3" sqref="F3"/>
    </sheetView>
  </sheetViews>
  <sheetFormatPr defaultRowHeight="15"/>
  <cols>
    <col min="1" max="1" width="5.140625" customWidth="1"/>
    <col min="2" max="3" width="11.5703125" bestFit="1" customWidth="1"/>
    <col min="4" max="4" width="9.28515625" bestFit="1" customWidth="1"/>
    <col min="5" max="5" width="3.85546875" customWidth="1"/>
    <col min="6" max="8" width="10.7109375" customWidth="1"/>
  </cols>
  <sheetData>
    <row r="1" spans="2:8" ht="15.75" thickBot="1">
      <c r="B1" s="30" t="s">
        <v>97</v>
      </c>
      <c r="C1" s="30" t="s">
        <v>96</v>
      </c>
      <c r="D1" s="30"/>
      <c r="F1" s="35" t="s">
        <v>94</v>
      </c>
      <c r="G1" s="35" t="s">
        <v>95</v>
      </c>
      <c r="H1" s="36" t="s">
        <v>98</v>
      </c>
    </row>
    <row r="2" spans="2:8" ht="17.25" thickTop="1" thickBot="1">
      <c r="B2" s="32">
        <v>4700</v>
      </c>
      <c r="C2" s="32">
        <v>1400</v>
      </c>
      <c r="D2" s="32"/>
      <c r="F2" s="37">
        <f>+B2:B50</f>
        <v>4700</v>
      </c>
      <c r="G2" s="37">
        <f>+C92</f>
        <v>210450</v>
      </c>
      <c r="H2" s="38">
        <f>SUM(F2:G2)</f>
        <v>215150</v>
      </c>
    </row>
    <row r="3" spans="2:8" ht="15.75" thickTop="1">
      <c r="B3" s="33">
        <v>13700</v>
      </c>
      <c r="C3" s="33">
        <v>5100</v>
      </c>
      <c r="D3" s="33"/>
      <c r="G3" t="s">
        <v>100</v>
      </c>
      <c r="H3">
        <v>631000</v>
      </c>
    </row>
    <row r="4" spans="2:8">
      <c r="B4" s="33">
        <v>4100</v>
      </c>
      <c r="C4" s="33">
        <v>1600</v>
      </c>
      <c r="D4" s="33"/>
      <c r="G4" t="s">
        <v>99</v>
      </c>
      <c r="H4" s="31">
        <f>+H3-H2</f>
        <v>415850</v>
      </c>
    </row>
    <row r="5" spans="2:8">
      <c r="B5" s="33">
        <v>4800</v>
      </c>
      <c r="C5" s="33">
        <v>2600</v>
      </c>
      <c r="D5" s="33"/>
    </row>
    <row r="6" spans="2:8">
      <c r="B6" s="33">
        <v>5000</v>
      </c>
      <c r="C6" s="33">
        <v>6200</v>
      </c>
      <c r="D6" s="33"/>
    </row>
    <row r="7" spans="2:8">
      <c r="B7" s="33">
        <v>4100</v>
      </c>
      <c r="C7" s="33">
        <v>5900</v>
      </c>
      <c r="D7" s="33"/>
    </row>
    <row r="8" spans="2:8">
      <c r="B8" s="33">
        <v>2600</v>
      </c>
      <c r="C8" s="33">
        <v>2200</v>
      </c>
      <c r="D8" s="33"/>
    </row>
    <row r="9" spans="2:8">
      <c r="B9" s="33">
        <v>15450</v>
      </c>
      <c r="C9" s="33">
        <v>900</v>
      </c>
      <c r="D9" s="33"/>
    </row>
    <row r="10" spans="2:8">
      <c r="B10" s="33">
        <v>2000</v>
      </c>
      <c r="C10" s="33">
        <v>2500</v>
      </c>
      <c r="D10" s="33"/>
    </row>
    <row r="11" spans="2:8">
      <c r="B11" s="33">
        <v>6500</v>
      </c>
      <c r="C11" s="33">
        <v>4400</v>
      </c>
      <c r="D11" s="33"/>
    </row>
    <row r="12" spans="2:8">
      <c r="B12" s="33">
        <v>5000</v>
      </c>
      <c r="C12" s="33">
        <v>8900</v>
      </c>
      <c r="D12" s="33"/>
    </row>
    <row r="13" spans="2:8">
      <c r="B13" s="33">
        <v>3900</v>
      </c>
      <c r="C13" s="33">
        <v>3850</v>
      </c>
      <c r="D13" s="33"/>
    </row>
    <row r="14" spans="2:8">
      <c r="B14" s="33">
        <v>4000</v>
      </c>
      <c r="C14" s="33">
        <v>2800</v>
      </c>
      <c r="D14" s="33"/>
    </row>
    <row r="15" spans="2:8">
      <c r="B15" s="33">
        <v>7000</v>
      </c>
      <c r="C15" s="33">
        <v>5400</v>
      </c>
      <c r="D15" s="33"/>
    </row>
    <row r="16" spans="2:8">
      <c r="B16" s="33">
        <v>1900</v>
      </c>
      <c r="C16" s="33">
        <v>2800</v>
      </c>
      <c r="D16" s="33"/>
    </row>
    <row r="17" spans="2:4">
      <c r="B17" s="33">
        <v>2800</v>
      </c>
      <c r="C17" s="33">
        <v>11100</v>
      </c>
      <c r="D17" s="33"/>
    </row>
    <row r="18" spans="2:4">
      <c r="B18" s="33">
        <v>2400</v>
      </c>
      <c r="C18" s="33">
        <v>2200</v>
      </c>
      <c r="D18" s="33"/>
    </row>
    <row r="19" spans="2:4">
      <c r="B19" s="33">
        <v>2900</v>
      </c>
      <c r="C19" s="33">
        <v>3600</v>
      </c>
      <c r="D19" s="33"/>
    </row>
    <row r="20" spans="2:4">
      <c r="B20" s="33">
        <v>3100</v>
      </c>
      <c r="C20" s="33">
        <v>1000</v>
      </c>
      <c r="D20" s="33"/>
    </row>
    <row r="21" spans="2:4">
      <c r="B21" s="33">
        <v>1100</v>
      </c>
      <c r="C21" s="33">
        <v>2800</v>
      </c>
      <c r="D21" s="33"/>
    </row>
    <row r="22" spans="2:4">
      <c r="B22" s="33">
        <v>6600</v>
      </c>
      <c r="C22" s="33">
        <v>2600</v>
      </c>
      <c r="D22" s="33"/>
    </row>
    <row r="23" spans="2:4">
      <c r="B23" s="33">
        <v>9600</v>
      </c>
      <c r="C23" s="33">
        <v>28000</v>
      </c>
      <c r="D23" s="33"/>
    </row>
    <row r="24" spans="2:4">
      <c r="B24" s="33">
        <v>8600</v>
      </c>
      <c r="C24" s="33">
        <v>1000</v>
      </c>
      <c r="D24" s="33"/>
    </row>
    <row r="25" spans="2:4">
      <c r="B25" s="33">
        <v>17000</v>
      </c>
      <c r="C25" s="33">
        <v>3000</v>
      </c>
      <c r="D25" s="33"/>
    </row>
    <row r="26" spans="2:4">
      <c r="B26" s="33">
        <v>6400</v>
      </c>
      <c r="C26" s="33">
        <v>1800</v>
      </c>
      <c r="D26" s="33"/>
    </row>
    <row r="27" spans="2:4">
      <c r="B27" s="33">
        <v>4000</v>
      </c>
      <c r="C27" s="33">
        <v>8000</v>
      </c>
      <c r="D27" s="33"/>
    </row>
    <row r="28" spans="2:4">
      <c r="B28" s="33">
        <v>3200</v>
      </c>
      <c r="C28" s="33">
        <v>2300</v>
      </c>
      <c r="D28" s="33"/>
    </row>
    <row r="29" spans="2:4">
      <c r="B29" s="33">
        <v>1200</v>
      </c>
      <c r="C29" s="33">
        <v>1200</v>
      </c>
      <c r="D29" s="33"/>
    </row>
    <row r="30" spans="2:4">
      <c r="B30" s="33">
        <v>3200</v>
      </c>
      <c r="C30" s="33">
        <v>3100</v>
      </c>
      <c r="D30" s="33"/>
    </row>
    <row r="31" spans="2:4">
      <c r="B31" s="33">
        <v>6300</v>
      </c>
      <c r="C31" s="33">
        <v>5100</v>
      </c>
      <c r="D31" s="33"/>
    </row>
    <row r="32" spans="2:4">
      <c r="B32" s="33">
        <v>2800</v>
      </c>
      <c r="C32" s="33">
        <v>950</v>
      </c>
      <c r="D32" s="33"/>
    </row>
    <row r="33" spans="2:4">
      <c r="B33" s="33">
        <v>11700</v>
      </c>
      <c r="C33" s="33">
        <v>10900</v>
      </c>
      <c r="D33" s="33"/>
    </row>
    <row r="34" spans="2:4">
      <c r="B34" s="33">
        <v>1800</v>
      </c>
      <c r="C34" s="33">
        <v>3200</v>
      </c>
      <c r="D34" s="33"/>
    </row>
    <row r="35" spans="2:4">
      <c r="B35" s="33">
        <v>4400</v>
      </c>
      <c r="C35" s="33">
        <v>5400</v>
      </c>
      <c r="D35" s="33"/>
    </row>
    <row r="36" spans="2:4">
      <c r="B36" s="33">
        <v>2000</v>
      </c>
      <c r="C36" s="33">
        <v>1400</v>
      </c>
      <c r="D36" s="33"/>
    </row>
    <row r="37" spans="2:4">
      <c r="B37" s="33">
        <v>6800</v>
      </c>
      <c r="C37" s="33">
        <v>20400</v>
      </c>
      <c r="D37" s="33"/>
    </row>
    <row r="38" spans="2:4">
      <c r="B38" s="33">
        <v>3500</v>
      </c>
      <c r="C38" s="33">
        <v>3700</v>
      </c>
      <c r="D38" s="33"/>
    </row>
    <row r="39" spans="2:4">
      <c r="B39" s="33">
        <v>7400</v>
      </c>
      <c r="C39" s="33">
        <v>9500</v>
      </c>
      <c r="D39" s="33"/>
    </row>
    <row r="40" spans="2:4">
      <c r="B40" s="33">
        <v>2200</v>
      </c>
      <c r="C40" s="33">
        <v>3800</v>
      </c>
      <c r="D40" s="33"/>
    </row>
    <row r="41" spans="2:4">
      <c r="B41" s="33">
        <v>1300</v>
      </c>
      <c r="C41" s="33">
        <v>3750</v>
      </c>
      <c r="D41" s="33"/>
    </row>
    <row r="42" spans="2:4">
      <c r="B42" s="33">
        <v>8500</v>
      </c>
      <c r="C42" s="33">
        <v>1800</v>
      </c>
      <c r="D42" s="33"/>
    </row>
    <row r="43" spans="2:4">
      <c r="B43" s="33">
        <v>4800</v>
      </c>
      <c r="C43" s="33">
        <v>4400</v>
      </c>
      <c r="D43" s="33"/>
    </row>
    <row r="44" spans="2:4">
      <c r="B44" s="33">
        <v>8600</v>
      </c>
      <c r="C44" s="33">
        <v>500</v>
      </c>
      <c r="D44" s="33"/>
    </row>
    <row r="45" spans="2:4">
      <c r="B45" s="33">
        <v>3300</v>
      </c>
      <c r="C45" s="33">
        <v>3700</v>
      </c>
      <c r="D45" s="33"/>
    </row>
    <row r="46" spans="2:4">
      <c r="B46" s="33">
        <v>3700</v>
      </c>
      <c r="C46" s="33">
        <v>3700</v>
      </c>
      <c r="D46" s="33"/>
    </row>
    <row r="47" spans="2:4">
      <c r="B47" s="33">
        <v>3000</v>
      </c>
      <c r="C47" s="33"/>
      <c r="D47" s="33"/>
    </row>
    <row r="48" spans="2:4">
      <c r="B48" s="33">
        <v>2800</v>
      </c>
      <c r="C48" s="33"/>
      <c r="D48" s="33"/>
    </row>
    <row r="49" spans="2:4">
      <c r="B49" s="33">
        <v>6400</v>
      </c>
      <c r="C49" s="33"/>
      <c r="D49" s="33"/>
    </row>
    <row r="50" spans="2:4">
      <c r="B50" s="33">
        <v>3500</v>
      </c>
      <c r="C50" s="33"/>
      <c r="D50" s="33"/>
    </row>
    <row r="51" spans="2:4">
      <c r="B51" s="33"/>
      <c r="C51" s="33"/>
      <c r="D51" s="33"/>
    </row>
    <row r="52" spans="2:4">
      <c r="B52" s="33"/>
      <c r="C52" s="33"/>
      <c r="D52" s="33"/>
    </row>
    <row r="53" spans="2:4">
      <c r="B53" s="33"/>
      <c r="C53" s="33"/>
      <c r="D53" s="33"/>
    </row>
    <row r="54" spans="2:4">
      <c r="B54" s="33"/>
      <c r="C54" s="33"/>
      <c r="D54" s="33"/>
    </row>
    <row r="55" spans="2:4">
      <c r="B55" s="33"/>
      <c r="C55" s="33"/>
      <c r="D55" s="33"/>
    </row>
    <row r="56" spans="2:4">
      <c r="B56" s="33"/>
      <c r="C56" s="33"/>
      <c r="D56" s="33"/>
    </row>
    <row r="57" spans="2:4">
      <c r="B57" s="33"/>
      <c r="C57" s="33"/>
      <c r="D57" s="33"/>
    </row>
    <row r="58" spans="2:4">
      <c r="B58" s="33"/>
      <c r="C58" s="33"/>
      <c r="D58" s="33"/>
    </row>
    <row r="59" spans="2:4">
      <c r="B59" s="33"/>
      <c r="C59" s="33"/>
      <c r="D59" s="33"/>
    </row>
    <row r="60" spans="2:4">
      <c r="B60" s="33"/>
      <c r="C60" s="33"/>
      <c r="D60" s="33"/>
    </row>
    <row r="61" spans="2:4">
      <c r="B61" s="33"/>
      <c r="C61" s="33"/>
      <c r="D61" s="33"/>
    </row>
    <row r="62" spans="2:4">
      <c r="B62" s="33"/>
      <c r="C62" s="33"/>
      <c r="D62" s="33"/>
    </row>
    <row r="63" spans="2:4">
      <c r="B63" s="33"/>
      <c r="C63" s="33"/>
      <c r="D63" s="33"/>
    </row>
    <row r="64" spans="2:4">
      <c r="B64" s="33"/>
      <c r="C64" s="33"/>
      <c r="D64" s="33"/>
    </row>
    <row r="65" spans="2:4">
      <c r="B65" s="33"/>
      <c r="C65" s="33"/>
      <c r="D65" s="33"/>
    </row>
    <row r="66" spans="2:4">
      <c r="B66" s="33"/>
      <c r="C66" s="33"/>
      <c r="D66" s="33"/>
    </row>
    <row r="67" spans="2:4">
      <c r="B67" s="33"/>
      <c r="C67" s="33"/>
      <c r="D67" s="33"/>
    </row>
    <row r="68" spans="2:4">
      <c r="B68" s="33"/>
      <c r="C68" s="33"/>
      <c r="D68" s="33"/>
    </row>
    <row r="69" spans="2:4">
      <c r="B69" s="33"/>
      <c r="C69" s="33"/>
      <c r="D69" s="33"/>
    </row>
    <row r="70" spans="2:4">
      <c r="B70" s="33"/>
      <c r="C70" s="33"/>
      <c r="D70" s="33"/>
    </row>
    <row r="71" spans="2:4">
      <c r="B71" s="33"/>
      <c r="C71" s="33"/>
      <c r="D71" s="33"/>
    </row>
    <row r="72" spans="2:4">
      <c r="B72" s="33"/>
      <c r="C72" s="33"/>
      <c r="D72" s="33"/>
    </row>
    <row r="73" spans="2:4">
      <c r="B73" s="33"/>
      <c r="C73" s="33"/>
      <c r="D73" s="33"/>
    </row>
    <row r="74" spans="2:4">
      <c r="B74" s="33"/>
      <c r="C74" s="33"/>
      <c r="D74" s="33"/>
    </row>
    <row r="75" spans="2:4">
      <c r="B75" s="33"/>
      <c r="C75" s="33"/>
      <c r="D75" s="33"/>
    </row>
    <row r="76" spans="2:4">
      <c r="B76" s="33"/>
      <c r="C76" s="33"/>
      <c r="D76" s="33"/>
    </row>
    <row r="77" spans="2:4">
      <c r="B77" s="33"/>
      <c r="C77" s="33"/>
      <c r="D77" s="33"/>
    </row>
    <row r="78" spans="2:4">
      <c r="B78" s="33"/>
      <c r="C78" s="33"/>
      <c r="D78" s="33"/>
    </row>
    <row r="79" spans="2:4">
      <c r="B79" s="33"/>
      <c r="C79" s="33"/>
      <c r="D79" s="33"/>
    </row>
    <row r="80" spans="2:4">
      <c r="B80" s="33"/>
      <c r="C80" s="33"/>
      <c r="D80" s="33"/>
    </row>
    <row r="81" spans="2:4">
      <c r="B81" s="33"/>
      <c r="C81" s="33"/>
      <c r="D81" s="33"/>
    </row>
    <row r="82" spans="2:4">
      <c r="B82" s="33"/>
      <c r="C82" s="33"/>
      <c r="D82" s="33"/>
    </row>
    <row r="83" spans="2:4">
      <c r="B83" s="33"/>
      <c r="C83" s="33"/>
      <c r="D83" s="33"/>
    </row>
    <row r="84" spans="2:4">
      <c r="B84" s="33"/>
      <c r="C84" s="33"/>
      <c r="D84" s="33"/>
    </row>
    <row r="85" spans="2:4">
      <c r="B85" s="33"/>
      <c r="C85" s="33"/>
      <c r="D85" s="33"/>
    </row>
    <row r="86" spans="2:4">
      <c r="B86" s="33"/>
      <c r="C86" s="33"/>
      <c r="D86" s="33"/>
    </row>
    <row r="87" spans="2:4">
      <c r="B87" s="33"/>
      <c r="C87" s="33"/>
      <c r="D87" s="33"/>
    </row>
    <row r="88" spans="2:4">
      <c r="B88" s="33"/>
      <c r="C88" s="33"/>
      <c r="D88" s="33"/>
    </row>
    <row r="89" spans="2:4">
      <c r="B89" s="33"/>
      <c r="C89" s="33"/>
      <c r="D89" s="33"/>
    </row>
    <row r="90" spans="2:4">
      <c r="B90" s="33"/>
      <c r="C90" s="33"/>
      <c r="D90" s="33"/>
    </row>
    <row r="91" spans="2:4">
      <c r="B91" s="33"/>
      <c r="C91" s="33"/>
      <c r="D91" s="33"/>
    </row>
    <row r="92" spans="2:4" ht="15.75" thickBot="1">
      <c r="B92" s="34">
        <f>SUM(B2:B91)</f>
        <v>251650</v>
      </c>
      <c r="C92" s="34">
        <f>SUM(C2:C91)</f>
        <v>210450</v>
      </c>
      <c r="D92" s="34">
        <f>SUM(D2:D91)</f>
        <v>0</v>
      </c>
    </row>
    <row r="93" spans="2:4" ht="15.75" thickTop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7"/>
  <sheetViews>
    <sheetView topLeftCell="A262" zoomScale="90" zoomScaleNormal="90" workbookViewId="0">
      <selection activeCell="G274" sqref="G274"/>
    </sheetView>
  </sheetViews>
  <sheetFormatPr defaultRowHeight="15"/>
  <cols>
    <col min="1" max="1" width="12.5703125" style="1" customWidth="1"/>
    <col min="2" max="2" width="71.5703125" style="4" customWidth="1"/>
    <col min="3" max="3" width="21.28515625" style="4" customWidth="1"/>
    <col min="4" max="4" width="16.140625" style="4" customWidth="1"/>
    <col min="5" max="5" width="16.28515625" style="4" customWidth="1"/>
    <col min="6" max="6" width="17.7109375" style="4" customWidth="1"/>
    <col min="7" max="7" width="13.5703125" style="4" customWidth="1"/>
    <col min="8" max="8" width="12.28515625" style="4" customWidth="1"/>
    <col min="9" max="9" width="14.42578125" style="4" customWidth="1"/>
    <col min="10" max="11" width="10.28515625" style="4" customWidth="1"/>
    <col min="12" max="12" width="13.28515625" style="4" customWidth="1"/>
    <col min="13" max="14" width="10.28515625" style="4" customWidth="1"/>
    <col min="15" max="16" width="9.140625" style="4"/>
    <col min="17" max="17" width="18.7109375" style="4" customWidth="1"/>
    <col min="18" max="16384" width="9.140625" style="4"/>
  </cols>
  <sheetData>
    <row r="1" spans="1:8" ht="18">
      <c r="B1" s="2" t="s">
        <v>21</v>
      </c>
      <c r="C1" s="3"/>
      <c r="D1" s="3"/>
    </row>
    <row r="2" spans="1:8" ht="18.75" thickBot="1">
      <c r="B2" s="2" t="s">
        <v>0</v>
      </c>
      <c r="C2" s="3"/>
      <c r="D2" s="3"/>
    </row>
    <row r="3" spans="1:8" s="9" customFormat="1" ht="34.5" thickTop="1" thickBot="1">
      <c r="A3" s="5" t="s">
        <v>1</v>
      </c>
      <c r="B3" s="6" t="s">
        <v>2</v>
      </c>
      <c r="C3" s="7" t="s">
        <v>3</v>
      </c>
      <c r="D3" s="26" t="s">
        <v>22</v>
      </c>
      <c r="E3" s="7" t="s">
        <v>4</v>
      </c>
      <c r="F3" s="8" t="s">
        <v>5</v>
      </c>
    </row>
    <row r="4" spans="1:8" ht="22.5" thickTop="1">
      <c r="A4" s="10">
        <v>45261</v>
      </c>
      <c r="B4" s="11" t="s">
        <v>6</v>
      </c>
      <c r="C4" s="12">
        <v>118000</v>
      </c>
      <c r="D4" s="27"/>
      <c r="E4" s="13"/>
      <c r="F4" s="14">
        <f>+C4-E4</f>
        <v>118000</v>
      </c>
    </row>
    <row r="5" spans="1:8" ht="21.75">
      <c r="A5" s="10">
        <v>45261</v>
      </c>
      <c r="B5" s="11" t="s">
        <v>7</v>
      </c>
      <c r="C5" s="12">
        <v>77500</v>
      </c>
      <c r="D5" s="27"/>
      <c r="E5" s="15"/>
      <c r="F5" s="14">
        <f>+F4+C5-D5-E5</f>
        <v>195500</v>
      </c>
      <c r="G5" s="16"/>
      <c r="H5" s="16"/>
    </row>
    <row r="6" spans="1:8" ht="21.75">
      <c r="A6" s="17"/>
      <c r="B6" s="18" t="s">
        <v>8</v>
      </c>
      <c r="C6" s="19"/>
      <c r="D6" s="28"/>
      <c r="E6" s="15">
        <v>4500</v>
      </c>
      <c r="F6" s="14">
        <f t="shared" ref="F6:F266" si="0">+F5+C6-D6-E6</f>
        <v>191000</v>
      </c>
      <c r="G6" s="16"/>
      <c r="H6" s="16"/>
    </row>
    <row r="7" spans="1:8" ht="21.75">
      <c r="A7" s="17"/>
      <c r="B7" s="18" t="s">
        <v>9</v>
      </c>
      <c r="C7" s="19"/>
      <c r="D7" s="28"/>
      <c r="E7" s="15">
        <v>5500</v>
      </c>
      <c r="F7" s="14">
        <f t="shared" si="0"/>
        <v>185500</v>
      </c>
      <c r="G7" s="16"/>
      <c r="H7" s="16"/>
    </row>
    <row r="8" spans="1:8" ht="21.75">
      <c r="A8" s="17"/>
      <c r="B8" s="18" t="s">
        <v>10</v>
      </c>
      <c r="C8" s="19"/>
      <c r="D8" s="28"/>
      <c r="E8" s="15">
        <v>15100</v>
      </c>
      <c r="F8" s="14">
        <f t="shared" si="0"/>
        <v>170400</v>
      </c>
      <c r="G8" s="16"/>
      <c r="H8" s="16"/>
    </row>
    <row r="9" spans="1:8" ht="21.75">
      <c r="A9" s="17"/>
      <c r="B9" s="18" t="s">
        <v>11</v>
      </c>
      <c r="C9" s="19"/>
      <c r="D9" s="28"/>
      <c r="E9" s="15">
        <v>1000</v>
      </c>
      <c r="F9" s="14">
        <f t="shared" si="0"/>
        <v>169400</v>
      </c>
      <c r="G9" s="16"/>
      <c r="H9" s="16"/>
    </row>
    <row r="10" spans="1:8" ht="21.75">
      <c r="A10" s="17"/>
      <c r="B10" s="18" t="s">
        <v>12</v>
      </c>
      <c r="C10" s="19"/>
      <c r="D10" s="28"/>
      <c r="E10" s="15">
        <v>300</v>
      </c>
      <c r="F10" s="14">
        <f t="shared" si="0"/>
        <v>169100</v>
      </c>
      <c r="G10" s="16"/>
      <c r="H10" s="16"/>
    </row>
    <row r="11" spans="1:8" ht="21.75">
      <c r="A11" s="17"/>
      <c r="B11" s="18" t="s">
        <v>13</v>
      </c>
      <c r="C11" s="19"/>
      <c r="D11" s="28"/>
      <c r="E11" s="15">
        <v>500</v>
      </c>
      <c r="F11" s="14">
        <f t="shared" si="0"/>
        <v>168600</v>
      </c>
      <c r="G11" s="16">
        <f>SUM(E6:E11)</f>
        <v>26900</v>
      </c>
      <c r="H11" s="16"/>
    </row>
    <row r="12" spans="1:8" ht="21" customHeight="1">
      <c r="A12" s="17"/>
      <c r="B12" s="18"/>
      <c r="C12" s="19"/>
      <c r="D12" s="28"/>
      <c r="E12" s="15"/>
      <c r="F12" s="14">
        <f t="shared" si="0"/>
        <v>168600</v>
      </c>
      <c r="G12" s="16"/>
      <c r="H12" s="16"/>
    </row>
    <row r="13" spans="1:8" ht="11.25" hidden="1" customHeight="1">
      <c r="A13" s="17"/>
      <c r="B13" s="18"/>
      <c r="C13" s="19"/>
      <c r="D13" s="28"/>
      <c r="E13" s="15"/>
      <c r="F13" s="14">
        <f t="shared" si="0"/>
        <v>168600</v>
      </c>
      <c r="G13" s="16"/>
      <c r="H13" s="16"/>
    </row>
    <row r="14" spans="1:8" ht="20.25" hidden="1" customHeight="1">
      <c r="A14" s="17"/>
      <c r="B14" s="18"/>
      <c r="C14" s="19"/>
      <c r="D14" s="28"/>
      <c r="E14" s="15"/>
      <c r="F14" s="14">
        <f t="shared" si="0"/>
        <v>168600</v>
      </c>
      <c r="G14" s="16"/>
      <c r="H14" s="16"/>
    </row>
    <row r="15" spans="1:8" ht="21.75" hidden="1">
      <c r="A15" s="17"/>
      <c r="B15" s="18"/>
      <c r="C15" s="19"/>
      <c r="D15" s="28"/>
      <c r="E15" s="15"/>
      <c r="F15" s="14">
        <f t="shared" si="0"/>
        <v>168600</v>
      </c>
      <c r="G15" s="16"/>
      <c r="H15" s="16"/>
    </row>
    <row r="16" spans="1:8" ht="21.75">
      <c r="A16" s="17"/>
      <c r="B16" s="18"/>
      <c r="C16" s="19"/>
      <c r="D16" s="28"/>
      <c r="E16" s="15"/>
      <c r="F16" s="14">
        <f t="shared" si="0"/>
        <v>168600</v>
      </c>
      <c r="G16" s="16"/>
      <c r="H16" s="16"/>
    </row>
    <row r="17" spans="1:8" ht="21.75">
      <c r="A17" s="10">
        <v>45262</v>
      </c>
      <c r="B17" s="11" t="s">
        <v>7</v>
      </c>
      <c r="C17" s="12">
        <v>100500</v>
      </c>
      <c r="D17" s="27"/>
      <c r="E17" s="15"/>
      <c r="F17" s="14">
        <f t="shared" si="0"/>
        <v>269100</v>
      </c>
      <c r="G17" s="16"/>
      <c r="H17" s="16"/>
    </row>
    <row r="18" spans="1:8" ht="21.75">
      <c r="A18" s="17"/>
      <c r="B18" s="18" t="s">
        <v>14</v>
      </c>
      <c r="C18" s="19"/>
      <c r="D18" s="28"/>
      <c r="E18" s="15">
        <v>16000</v>
      </c>
      <c r="F18" s="14">
        <f t="shared" si="0"/>
        <v>253100</v>
      </c>
      <c r="G18" s="16"/>
      <c r="H18" s="16"/>
    </row>
    <row r="19" spans="1:8" ht="21.75">
      <c r="A19" s="17"/>
      <c r="B19" s="18" t="s">
        <v>15</v>
      </c>
      <c r="C19" s="19"/>
      <c r="D19" s="28"/>
      <c r="E19" s="15">
        <v>500</v>
      </c>
      <c r="F19" s="14">
        <f t="shared" si="0"/>
        <v>252600</v>
      </c>
      <c r="G19" s="16"/>
      <c r="H19" s="16"/>
    </row>
    <row r="20" spans="1:8" ht="21.75">
      <c r="A20" s="17"/>
      <c r="B20" s="18" t="s">
        <v>16</v>
      </c>
      <c r="C20" s="19"/>
      <c r="D20" s="28"/>
      <c r="E20" s="15">
        <v>700</v>
      </c>
      <c r="F20" s="14">
        <f t="shared" si="0"/>
        <v>251900</v>
      </c>
      <c r="G20" s="16"/>
      <c r="H20" s="16"/>
    </row>
    <row r="21" spans="1:8" ht="21.75">
      <c r="A21" s="17"/>
      <c r="B21" s="18" t="s">
        <v>17</v>
      </c>
      <c r="C21" s="19"/>
      <c r="D21" s="28"/>
      <c r="E21" s="15">
        <v>1000</v>
      </c>
      <c r="F21" s="14">
        <f t="shared" si="0"/>
        <v>250900</v>
      </c>
      <c r="G21" s="16"/>
      <c r="H21" s="16"/>
    </row>
    <row r="22" spans="1:8" ht="21" customHeight="1">
      <c r="A22" s="17"/>
      <c r="B22" s="18" t="s">
        <v>10</v>
      </c>
      <c r="C22" s="19"/>
      <c r="D22" s="28"/>
      <c r="E22" s="15">
        <v>57000</v>
      </c>
      <c r="F22" s="14">
        <f t="shared" si="0"/>
        <v>193900</v>
      </c>
      <c r="G22" s="16"/>
      <c r="H22" s="16"/>
    </row>
    <row r="23" spans="1:8" ht="21.75">
      <c r="A23" s="17"/>
      <c r="B23" s="18" t="s">
        <v>18</v>
      </c>
      <c r="C23" s="19"/>
      <c r="D23" s="28"/>
      <c r="E23" s="15">
        <v>800</v>
      </c>
      <c r="F23" s="14">
        <f t="shared" si="0"/>
        <v>193100</v>
      </c>
      <c r="G23" s="16"/>
      <c r="H23" s="16"/>
    </row>
    <row r="24" spans="1:8" ht="21.75">
      <c r="A24" s="17"/>
      <c r="B24" s="18" t="s">
        <v>19</v>
      </c>
      <c r="C24" s="19"/>
      <c r="D24" s="28"/>
      <c r="E24" s="15">
        <v>1000</v>
      </c>
      <c r="F24" s="14">
        <f t="shared" si="0"/>
        <v>192100</v>
      </c>
      <c r="G24" s="16"/>
      <c r="H24" s="16"/>
    </row>
    <row r="25" spans="1:8" ht="21.75">
      <c r="A25" s="17"/>
      <c r="B25" s="18" t="s">
        <v>20</v>
      </c>
      <c r="C25" s="19"/>
      <c r="D25" s="28"/>
      <c r="E25" s="15">
        <v>500</v>
      </c>
      <c r="F25" s="14">
        <f t="shared" si="0"/>
        <v>191600</v>
      </c>
      <c r="G25" s="16">
        <f>SUM(E18:E25)</f>
        <v>77500</v>
      </c>
      <c r="H25" s="16"/>
    </row>
    <row r="26" spans="1:8" ht="21.75">
      <c r="A26" s="10">
        <v>45263</v>
      </c>
      <c r="B26" s="11" t="s">
        <v>7</v>
      </c>
      <c r="C26" s="12">
        <v>49300</v>
      </c>
      <c r="D26" s="27"/>
      <c r="E26" s="15"/>
      <c r="F26" s="14">
        <f t="shared" si="0"/>
        <v>240900</v>
      </c>
      <c r="G26" s="16"/>
      <c r="H26" s="16"/>
    </row>
    <row r="27" spans="1:8" ht="21.75">
      <c r="A27" s="17"/>
      <c r="B27" s="18" t="s">
        <v>46</v>
      </c>
      <c r="C27" s="19"/>
      <c r="D27" s="28"/>
      <c r="E27" s="15">
        <v>6300</v>
      </c>
      <c r="F27" s="14">
        <f t="shared" si="0"/>
        <v>234600</v>
      </c>
      <c r="G27" s="16"/>
      <c r="H27" s="16"/>
    </row>
    <row r="28" spans="1:8" ht="21.75">
      <c r="A28" s="17"/>
      <c r="B28" s="18" t="s">
        <v>23</v>
      </c>
      <c r="C28" s="19"/>
      <c r="D28" s="28"/>
      <c r="E28" s="15">
        <v>4500</v>
      </c>
      <c r="F28" s="14">
        <f t="shared" si="0"/>
        <v>230100</v>
      </c>
      <c r="G28" s="16"/>
      <c r="H28" s="16"/>
    </row>
    <row r="29" spans="1:8" ht="21.75">
      <c r="A29" s="17"/>
      <c r="B29" s="18" t="s">
        <v>24</v>
      </c>
      <c r="C29" s="19"/>
      <c r="D29" s="28"/>
      <c r="E29" s="15">
        <v>2600</v>
      </c>
      <c r="F29" s="14">
        <f t="shared" si="0"/>
        <v>227500</v>
      </c>
      <c r="G29" s="16"/>
      <c r="H29" s="16"/>
    </row>
    <row r="30" spans="1:8" ht="21.75">
      <c r="A30" s="17"/>
      <c r="B30" s="18" t="s">
        <v>25</v>
      </c>
      <c r="C30" s="19"/>
      <c r="D30" s="28"/>
      <c r="E30" s="15">
        <v>5000</v>
      </c>
      <c r="F30" s="14">
        <f t="shared" si="0"/>
        <v>222500</v>
      </c>
      <c r="G30" s="16"/>
      <c r="H30" s="16"/>
    </row>
    <row r="31" spans="1:8" ht="21.75">
      <c r="A31" s="17"/>
      <c r="B31" s="18" t="s">
        <v>26</v>
      </c>
      <c r="C31" s="19"/>
      <c r="D31" s="28"/>
      <c r="E31" s="15">
        <v>3000</v>
      </c>
      <c r="F31" s="14">
        <f t="shared" si="0"/>
        <v>219500</v>
      </c>
      <c r="G31" s="16"/>
      <c r="H31" s="16"/>
    </row>
    <row r="32" spans="1:8" ht="21.75">
      <c r="A32" s="17"/>
      <c r="B32" s="18" t="s">
        <v>27</v>
      </c>
      <c r="C32" s="19"/>
      <c r="D32" s="28"/>
      <c r="E32" s="15">
        <v>17000</v>
      </c>
      <c r="F32" s="14">
        <f t="shared" si="0"/>
        <v>202500</v>
      </c>
      <c r="G32" s="16"/>
      <c r="H32" s="16"/>
    </row>
    <row r="33" spans="1:8" ht="21.75">
      <c r="A33" s="17"/>
      <c r="B33" s="18" t="s">
        <v>28</v>
      </c>
      <c r="C33" s="19"/>
      <c r="D33" s="28"/>
      <c r="E33" s="15">
        <v>400</v>
      </c>
      <c r="F33" s="14">
        <f t="shared" si="0"/>
        <v>202100</v>
      </c>
      <c r="G33" s="16">
        <f>SUM(E27:E33)</f>
        <v>38800</v>
      </c>
      <c r="H33" s="16"/>
    </row>
    <row r="34" spans="1:8" ht="21.75">
      <c r="A34" s="10">
        <v>45264</v>
      </c>
      <c r="B34" s="11" t="s">
        <v>7</v>
      </c>
      <c r="C34" s="12">
        <v>39400</v>
      </c>
      <c r="D34" s="28"/>
      <c r="E34" s="15"/>
      <c r="F34" s="14">
        <f t="shared" si="0"/>
        <v>241500</v>
      </c>
      <c r="G34" s="16"/>
      <c r="H34" s="16"/>
    </row>
    <row r="35" spans="1:8" ht="21.75">
      <c r="A35" s="17"/>
      <c r="B35" s="18" t="s">
        <v>29</v>
      </c>
      <c r="C35" s="19"/>
      <c r="D35" s="28"/>
      <c r="E35" s="15">
        <v>57000</v>
      </c>
      <c r="F35" s="14">
        <f t="shared" si="0"/>
        <v>184500</v>
      </c>
      <c r="G35" s="16"/>
      <c r="H35" s="16"/>
    </row>
    <row r="36" spans="1:8" ht="21.75">
      <c r="A36" s="10"/>
      <c r="B36" s="18" t="s">
        <v>30</v>
      </c>
      <c r="C36" s="19"/>
      <c r="D36" s="28"/>
      <c r="E36" s="15">
        <v>1300</v>
      </c>
      <c r="F36" s="14">
        <f t="shared" si="0"/>
        <v>183200</v>
      </c>
      <c r="G36" s="16"/>
      <c r="H36" s="16"/>
    </row>
    <row r="37" spans="1:8" ht="21.75">
      <c r="A37" s="17"/>
      <c r="B37" s="18" t="s">
        <v>31</v>
      </c>
      <c r="C37" s="19"/>
      <c r="D37" s="28"/>
      <c r="E37" s="15">
        <v>500</v>
      </c>
      <c r="F37" s="14">
        <f t="shared" si="0"/>
        <v>182700</v>
      </c>
      <c r="G37" s="16">
        <f>SUM(E35:E37)</f>
        <v>58800</v>
      </c>
      <c r="H37" s="16"/>
    </row>
    <row r="38" spans="1:8" ht="21.75">
      <c r="A38" s="17">
        <v>45265</v>
      </c>
      <c r="B38" s="11" t="s">
        <v>7</v>
      </c>
      <c r="C38" s="12">
        <v>64500</v>
      </c>
      <c r="D38" s="28"/>
      <c r="E38" s="15"/>
      <c r="F38" s="14">
        <f t="shared" si="0"/>
        <v>247200</v>
      </c>
      <c r="G38" s="16"/>
      <c r="H38" s="16"/>
    </row>
    <row r="39" spans="1:8" ht="21.75">
      <c r="A39" s="17"/>
      <c r="B39" s="18" t="s">
        <v>32</v>
      </c>
      <c r="C39" s="19"/>
      <c r="D39" s="28"/>
      <c r="E39" s="15">
        <v>6500</v>
      </c>
      <c r="F39" s="14">
        <f t="shared" si="0"/>
        <v>240700</v>
      </c>
      <c r="G39" s="16"/>
      <c r="H39" s="16"/>
    </row>
    <row r="40" spans="1:8" ht="21.75">
      <c r="A40" s="17"/>
      <c r="B40" s="18" t="s">
        <v>33</v>
      </c>
      <c r="C40" s="19"/>
      <c r="D40" s="28"/>
      <c r="E40" s="15">
        <v>2500</v>
      </c>
      <c r="F40" s="14">
        <f t="shared" si="0"/>
        <v>238200</v>
      </c>
      <c r="G40" s="16"/>
      <c r="H40" s="16"/>
    </row>
    <row r="41" spans="1:8" ht="21.75">
      <c r="A41" s="17"/>
      <c r="B41" s="18" t="s">
        <v>34</v>
      </c>
      <c r="C41" s="19"/>
      <c r="D41" s="28"/>
      <c r="E41" s="15">
        <v>2000</v>
      </c>
      <c r="F41" s="14">
        <f t="shared" si="0"/>
        <v>236200</v>
      </c>
      <c r="G41" s="16"/>
      <c r="H41" s="16"/>
    </row>
    <row r="42" spans="1:8" ht="21.75">
      <c r="A42" s="17"/>
      <c r="B42" s="18" t="s">
        <v>10</v>
      </c>
      <c r="C42" s="19"/>
      <c r="D42" s="28"/>
      <c r="E42" s="15">
        <v>55500</v>
      </c>
      <c r="F42" s="14">
        <f t="shared" si="0"/>
        <v>180700</v>
      </c>
      <c r="G42" s="16"/>
      <c r="H42" s="16"/>
    </row>
    <row r="43" spans="1:8" ht="21.75">
      <c r="A43" s="17"/>
      <c r="B43" s="18" t="s">
        <v>35</v>
      </c>
      <c r="C43" s="19"/>
      <c r="D43" s="28"/>
      <c r="E43" s="15">
        <v>2500</v>
      </c>
      <c r="F43" s="14">
        <f t="shared" si="0"/>
        <v>178200</v>
      </c>
      <c r="G43" s="16"/>
      <c r="H43" s="16"/>
    </row>
    <row r="44" spans="1:8" ht="21.75">
      <c r="A44" s="17"/>
      <c r="B44" s="18" t="s">
        <v>36</v>
      </c>
      <c r="C44" s="19"/>
      <c r="D44" s="28"/>
      <c r="E44" s="15">
        <v>6000</v>
      </c>
      <c r="F44" s="14">
        <f t="shared" si="0"/>
        <v>172200</v>
      </c>
      <c r="G44" s="16"/>
      <c r="H44" s="16"/>
    </row>
    <row r="45" spans="1:8" ht="21.75">
      <c r="A45" s="17"/>
      <c r="B45" s="18" t="s">
        <v>37</v>
      </c>
      <c r="C45" s="19"/>
      <c r="D45" s="28"/>
      <c r="E45" s="15">
        <v>1000</v>
      </c>
      <c r="F45" s="14">
        <f t="shared" si="0"/>
        <v>171200</v>
      </c>
      <c r="G45" s="16"/>
      <c r="H45" s="16"/>
    </row>
    <row r="46" spans="1:8" ht="21.75">
      <c r="A46" s="17"/>
      <c r="B46" s="18" t="s">
        <v>38</v>
      </c>
      <c r="C46" s="19"/>
      <c r="D46" s="28"/>
      <c r="E46" s="15">
        <v>500</v>
      </c>
      <c r="F46" s="14">
        <f t="shared" si="0"/>
        <v>170700</v>
      </c>
      <c r="G46" s="16">
        <f>SUM(E39:E46)</f>
        <v>76500</v>
      </c>
      <c r="H46" s="16"/>
    </row>
    <row r="47" spans="1:8" ht="21.75">
      <c r="A47" s="17">
        <v>45266</v>
      </c>
      <c r="B47" s="11" t="s">
        <v>7</v>
      </c>
      <c r="C47" s="12">
        <v>49500</v>
      </c>
      <c r="D47" s="28"/>
      <c r="E47" s="15"/>
      <c r="F47" s="14">
        <f t="shared" si="0"/>
        <v>220200</v>
      </c>
      <c r="G47" s="16"/>
      <c r="H47" s="16"/>
    </row>
    <row r="48" spans="1:8" ht="21.75">
      <c r="A48" s="17"/>
      <c r="B48" s="18" t="s">
        <v>39</v>
      </c>
      <c r="C48" s="19"/>
      <c r="D48" s="28"/>
      <c r="E48" s="21">
        <v>1500</v>
      </c>
      <c r="F48" s="14">
        <f t="shared" si="0"/>
        <v>218700</v>
      </c>
      <c r="G48" s="16"/>
      <c r="H48" s="16"/>
    </row>
    <row r="49" spans="1:8" ht="21.75">
      <c r="A49" s="17"/>
      <c r="B49" s="18" t="s">
        <v>40</v>
      </c>
      <c r="C49" s="19"/>
      <c r="D49" s="28"/>
      <c r="E49" s="15">
        <v>4500</v>
      </c>
      <c r="F49" s="14">
        <f t="shared" si="0"/>
        <v>214200</v>
      </c>
      <c r="G49" s="16"/>
      <c r="H49" s="16"/>
    </row>
    <row r="50" spans="1:8" ht="27" customHeight="1">
      <c r="A50" s="17"/>
      <c r="B50" s="18" t="s">
        <v>41</v>
      </c>
      <c r="C50" s="19"/>
      <c r="D50" s="28"/>
      <c r="E50" s="15">
        <v>2800</v>
      </c>
      <c r="F50" s="14">
        <f t="shared" si="0"/>
        <v>211400</v>
      </c>
      <c r="G50" s="16"/>
      <c r="H50" s="16"/>
    </row>
    <row r="51" spans="1:8" ht="27" customHeight="1">
      <c r="A51" s="17"/>
      <c r="B51" s="18" t="s">
        <v>42</v>
      </c>
      <c r="C51" s="19"/>
      <c r="D51" s="28"/>
      <c r="E51" s="15">
        <v>5000</v>
      </c>
      <c r="F51" s="14">
        <f t="shared" si="0"/>
        <v>206400</v>
      </c>
      <c r="G51" s="16"/>
      <c r="H51" s="16"/>
    </row>
    <row r="52" spans="1:8" ht="27" customHeight="1">
      <c r="A52" s="17"/>
      <c r="B52" s="18" t="s">
        <v>43</v>
      </c>
      <c r="C52" s="19"/>
      <c r="D52" s="28"/>
      <c r="E52" s="15">
        <v>1300</v>
      </c>
      <c r="F52" s="14">
        <f t="shared" si="0"/>
        <v>205100</v>
      </c>
      <c r="G52" s="16"/>
      <c r="H52" s="16"/>
    </row>
    <row r="53" spans="1:8" ht="27" customHeight="1">
      <c r="A53" s="17"/>
      <c r="B53" s="18" t="s">
        <v>44</v>
      </c>
      <c r="C53" s="19"/>
      <c r="D53" s="28"/>
      <c r="E53" s="15">
        <v>500</v>
      </c>
      <c r="F53" s="14">
        <f t="shared" si="0"/>
        <v>204600</v>
      </c>
      <c r="G53" s="16"/>
      <c r="H53" s="16"/>
    </row>
    <row r="54" spans="1:8" ht="27" customHeight="1">
      <c r="A54" s="17"/>
      <c r="B54" s="18" t="s">
        <v>45</v>
      </c>
      <c r="C54" s="19"/>
      <c r="D54" s="28"/>
      <c r="E54" s="15">
        <v>500</v>
      </c>
      <c r="F54" s="14">
        <f t="shared" si="0"/>
        <v>204100</v>
      </c>
      <c r="G54" s="16"/>
      <c r="H54" s="16"/>
    </row>
    <row r="55" spans="1:8" ht="27" customHeight="1">
      <c r="A55" s="17"/>
      <c r="B55" s="18" t="s">
        <v>47</v>
      </c>
      <c r="C55" s="19"/>
      <c r="D55" s="28"/>
      <c r="E55" s="15">
        <v>1000</v>
      </c>
      <c r="F55" s="14">
        <f t="shared" si="0"/>
        <v>203100</v>
      </c>
      <c r="G55" s="16">
        <f>SUM(E48:E55)</f>
        <v>17100</v>
      </c>
      <c r="H55" s="16"/>
    </row>
    <row r="56" spans="1:8" ht="27" customHeight="1">
      <c r="A56" s="17"/>
      <c r="B56" s="18" t="s">
        <v>48</v>
      </c>
      <c r="C56" s="19"/>
      <c r="D56" s="28"/>
      <c r="E56" s="15"/>
      <c r="F56" s="14">
        <f t="shared" si="0"/>
        <v>203100</v>
      </c>
      <c r="G56" s="16"/>
      <c r="H56" s="16"/>
    </row>
    <row r="57" spans="1:8" ht="27" customHeight="1">
      <c r="A57" s="17">
        <v>45267</v>
      </c>
      <c r="B57" s="11" t="s">
        <v>7</v>
      </c>
      <c r="C57" s="12">
        <v>101500</v>
      </c>
      <c r="D57" s="28"/>
      <c r="E57" s="15"/>
      <c r="F57" s="14">
        <f t="shared" si="0"/>
        <v>304600</v>
      </c>
      <c r="G57" s="16"/>
      <c r="H57" s="16"/>
    </row>
    <row r="58" spans="1:8" ht="27" customHeight="1">
      <c r="A58" s="17"/>
      <c r="B58" s="18" t="s">
        <v>49</v>
      </c>
      <c r="C58" s="19"/>
      <c r="D58" s="28"/>
      <c r="E58" s="15">
        <v>600</v>
      </c>
      <c r="F58" s="14">
        <f t="shared" si="0"/>
        <v>304000</v>
      </c>
      <c r="G58" s="16"/>
      <c r="H58" s="16"/>
    </row>
    <row r="59" spans="1:8" ht="27" customHeight="1">
      <c r="A59" s="17"/>
      <c r="B59" s="18" t="s">
        <v>48</v>
      </c>
      <c r="C59" s="19"/>
      <c r="D59" s="28"/>
      <c r="E59" s="15">
        <v>150000</v>
      </c>
      <c r="F59" s="14">
        <f t="shared" si="0"/>
        <v>154000</v>
      </c>
      <c r="G59" s="16"/>
      <c r="H59" s="16"/>
    </row>
    <row r="60" spans="1:8" ht="27" customHeight="1">
      <c r="A60" s="17"/>
      <c r="B60" s="18" t="s">
        <v>50</v>
      </c>
      <c r="C60" s="19"/>
      <c r="D60" s="28"/>
      <c r="E60" s="15">
        <v>2200</v>
      </c>
      <c r="F60" s="14">
        <f t="shared" si="0"/>
        <v>151800</v>
      </c>
      <c r="G60" s="16"/>
      <c r="H60" s="16"/>
    </row>
    <row r="61" spans="1:8" ht="27" customHeight="1">
      <c r="A61" s="17"/>
      <c r="B61" s="18" t="s">
        <v>51</v>
      </c>
      <c r="C61" s="19"/>
      <c r="D61" s="28"/>
      <c r="E61" s="15">
        <v>500</v>
      </c>
      <c r="F61" s="14">
        <f t="shared" si="0"/>
        <v>151300</v>
      </c>
      <c r="G61" s="16"/>
      <c r="H61" s="16"/>
    </row>
    <row r="62" spans="1:8" ht="27" customHeight="1">
      <c r="A62" s="17"/>
      <c r="B62" s="18" t="s">
        <v>52</v>
      </c>
      <c r="C62" s="19"/>
      <c r="D62" s="28"/>
      <c r="E62" s="15">
        <v>11500</v>
      </c>
      <c r="F62" s="14">
        <f t="shared" si="0"/>
        <v>139800</v>
      </c>
      <c r="G62" s="16"/>
      <c r="H62" s="16"/>
    </row>
    <row r="63" spans="1:8" ht="27" customHeight="1">
      <c r="A63" s="17"/>
      <c r="B63" s="18" t="s">
        <v>53</v>
      </c>
      <c r="C63" s="19"/>
      <c r="D63" s="28"/>
      <c r="E63" s="15">
        <v>2000</v>
      </c>
      <c r="F63" s="14">
        <f t="shared" si="0"/>
        <v>137800</v>
      </c>
      <c r="G63" s="16"/>
      <c r="H63" s="16"/>
    </row>
    <row r="64" spans="1:8" ht="27" customHeight="1">
      <c r="A64" s="17"/>
      <c r="B64" s="18" t="s">
        <v>54</v>
      </c>
      <c r="C64" s="19"/>
      <c r="D64" s="28"/>
      <c r="E64" s="15">
        <v>1000</v>
      </c>
      <c r="F64" s="14">
        <f t="shared" si="0"/>
        <v>136800</v>
      </c>
      <c r="G64" s="16">
        <f>SUM(E58:E64)</f>
        <v>167800</v>
      </c>
      <c r="H64" s="16"/>
    </row>
    <row r="65" spans="1:8" ht="27" customHeight="1">
      <c r="A65" s="17">
        <v>45268</v>
      </c>
      <c r="B65" s="11" t="s">
        <v>7</v>
      </c>
      <c r="C65" s="12">
        <v>47650</v>
      </c>
      <c r="D65" s="28"/>
      <c r="E65" s="15"/>
      <c r="F65" s="14">
        <f t="shared" si="0"/>
        <v>184450</v>
      </c>
      <c r="G65" s="16"/>
      <c r="H65" s="16"/>
    </row>
    <row r="66" spans="1:8" ht="27" customHeight="1">
      <c r="A66" s="17"/>
      <c r="B66" s="18" t="s">
        <v>55</v>
      </c>
      <c r="C66" s="12"/>
      <c r="D66" s="28"/>
      <c r="E66" s="15">
        <v>1000</v>
      </c>
      <c r="F66" s="14">
        <f>+F65+C66-D66-E66</f>
        <v>183450</v>
      </c>
      <c r="G66" s="16"/>
      <c r="H66" s="16"/>
    </row>
    <row r="67" spans="1:8" ht="27" customHeight="1">
      <c r="A67" s="17"/>
      <c r="B67" s="18" t="s">
        <v>56</v>
      </c>
      <c r="C67" s="19"/>
      <c r="D67" s="28"/>
      <c r="E67" s="15">
        <v>4500</v>
      </c>
      <c r="F67" s="14">
        <f t="shared" si="0"/>
        <v>178950</v>
      </c>
      <c r="G67" s="16"/>
      <c r="H67" s="16"/>
    </row>
    <row r="68" spans="1:8" ht="27" customHeight="1">
      <c r="A68" s="17"/>
      <c r="B68" s="18" t="s">
        <v>57</v>
      </c>
      <c r="C68" s="19"/>
      <c r="D68" s="28"/>
      <c r="E68" s="15">
        <v>1000</v>
      </c>
      <c r="F68" s="14">
        <f t="shared" si="0"/>
        <v>177950</v>
      </c>
      <c r="G68" s="16"/>
      <c r="H68" s="16"/>
    </row>
    <row r="69" spans="1:8" ht="27" customHeight="1">
      <c r="A69" s="17"/>
      <c r="B69" s="18" t="s">
        <v>58</v>
      </c>
      <c r="C69" s="19"/>
      <c r="D69" s="28"/>
      <c r="E69" s="15">
        <v>5100</v>
      </c>
      <c r="F69" s="14">
        <f t="shared" si="0"/>
        <v>172850</v>
      </c>
      <c r="G69" s="16"/>
      <c r="H69" s="16"/>
    </row>
    <row r="70" spans="1:8" ht="27" customHeight="1">
      <c r="A70" s="17"/>
      <c r="B70" s="18" t="s">
        <v>59</v>
      </c>
      <c r="C70" s="19"/>
      <c r="D70" s="28"/>
      <c r="E70" s="15">
        <v>3000</v>
      </c>
      <c r="F70" s="14">
        <f t="shared" si="0"/>
        <v>169850</v>
      </c>
      <c r="G70" s="16"/>
      <c r="H70" s="16"/>
    </row>
    <row r="71" spans="1:8" ht="27" customHeight="1">
      <c r="A71" s="17"/>
      <c r="B71" s="18" t="s">
        <v>60</v>
      </c>
      <c r="C71" s="19"/>
      <c r="D71" s="28"/>
      <c r="E71" s="15">
        <v>700</v>
      </c>
      <c r="F71" s="14">
        <f t="shared" si="0"/>
        <v>169150</v>
      </c>
      <c r="G71" s="16">
        <f>SUM(E66:E71)</f>
        <v>15300</v>
      </c>
      <c r="H71" s="16"/>
    </row>
    <row r="72" spans="1:8" ht="27" customHeight="1">
      <c r="A72" s="17">
        <v>45269</v>
      </c>
      <c r="B72" s="11" t="s">
        <v>7</v>
      </c>
      <c r="C72" s="12">
        <v>64400</v>
      </c>
      <c r="D72" s="28"/>
      <c r="E72" s="15"/>
      <c r="F72" s="14">
        <f t="shared" si="0"/>
        <v>233550</v>
      </c>
      <c r="G72" s="16"/>
      <c r="H72" s="16"/>
    </row>
    <row r="73" spans="1:8" ht="27" customHeight="1">
      <c r="A73" s="17"/>
      <c r="B73" s="18" t="s">
        <v>61</v>
      </c>
      <c r="C73" s="12"/>
      <c r="D73" s="28"/>
      <c r="E73" s="15">
        <v>1200</v>
      </c>
      <c r="F73" s="14">
        <f t="shared" si="0"/>
        <v>232350</v>
      </c>
      <c r="G73" s="16"/>
      <c r="H73" s="16"/>
    </row>
    <row r="74" spans="1:8" ht="27" customHeight="1">
      <c r="A74" s="17"/>
      <c r="B74" s="18" t="s">
        <v>62</v>
      </c>
      <c r="C74" s="12"/>
      <c r="D74" s="28"/>
      <c r="E74" s="15">
        <v>3800</v>
      </c>
      <c r="F74" s="14">
        <f t="shared" si="0"/>
        <v>228550</v>
      </c>
      <c r="G74" s="16"/>
      <c r="H74" s="16"/>
    </row>
    <row r="75" spans="1:8" ht="27" customHeight="1">
      <c r="A75" s="17"/>
      <c r="B75" s="18" t="s">
        <v>63</v>
      </c>
      <c r="C75" s="12"/>
      <c r="D75" s="28"/>
      <c r="E75" s="15">
        <v>4000</v>
      </c>
      <c r="F75" s="14">
        <f t="shared" si="0"/>
        <v>224550</v>
      </c>
      <c r="G75" s="16"/>
      <c r="H75" s="16"/>
    </row>
    <row r="76" spans="1:8" ht="27" customHeight="1">
      <c r="A76" s="17"/>
      <c r="B76" s="18" t="s">
        <v>64</v>
      </c>
      <c r="C76" s="12"/>
      <c r="D76" s="28"/>
      <c r="E76" s="15">
        <v>4800</v>
      </c>
      <c r="F76" s="14">
        <f t="shared" si="0"/>
        <v>219750</v>
      </c>
      <c r="G76" s="16"/>
      <c r="H76" s="16"/>
    </row>
    <row r="77" spans="1:8" ht="27" customHeight="1">
      <c r="A77" s="17"/>
      <c r="B77" s="18" t="s">
        <v>65</v>
      </c>
      <c r="C77" s="12"/>
      <c r="D77" s="28"/>
      <c r="E77" s="15">
        <v>2000</v>
      </c>
      <c r="F77" s="14">
        <f t="shared" si="0"/>
        <v>217750</v>
      </c>
      <c r="G77" s="16"/>
      <c r="H77" s="16"/>
    </row>
    <row r="78" spans="1:8" ht="27" customHeight="1">
      <c r="A78" s="17"/>
      <c r="B78" s="18" t="s">
        <v>66</v>
      </c>
      <c r="C78" s="12"/>
      <c r="D78" s="28"/>
      <c r="E78" s="15">
        <v>2500</v>
      </c>
      <c r="F78" s="14">
        <f t="shared" si="0"/>
        <v>215250</v>
      </c>
      <c r="G78" s="16"/>
      <c r="H78" s="16"/>
    </row>
    <row r="79" spans="1:8" ht="27" customHeight="1">
      <c r="A79" s="17"/>
      <c r="B79" s="18" t="s">
        <v>67</v>
      </c>
      <c r="C79" s="12"/>
      <c r="D79" s="28"/>
      <c r="E79" s="15">
        <v>2000</v>
      </c>
      <c r="F79" s="14">
        <f t="shared" si="0"/>
        <v>213250</v>
      </c>
      <c r="G79" s="16"/>
      <c r="H79" s="16"/>
    </row>
    <row r="80" spans="1:8" ht="27" customHeight="1">
      <c r="A80" s="17"/>
      <c r="B80" s="18" t="s">
        <v>68</v>
      </c>
      <c r="C80" s="12"/>
      <c r="D80" s="28"/>
      <c r="E80" s="15">
        <v>1700</v>
      </c>
      <c r="F80" s="14">
        <f t="shared" si="0"/>
        <v>211550</v>
      </c>
      <c r="G80" s="16"/>
      <c r="H80" s="16"/>
    </row>
    <row r="81" spans="1:8" ht="27" customHeight="1">
      <c r="A81" s="17"/>
      <c r="B81" s="18" t="s">
        <v>69</v>
      </c>
      <c r="C81" s="19"/>
      <c r="D81" s="28"/>
      <c r="E81" s="15">
        <v>900</v>
      </c>
      <c r="F81" s="14">
        <f t="shared" si="0"/>
        <v>210650</v>
      </c>
      <c r="G81" s="16">
        <f>SUM(E73:E81)</f>
        <v>22900</v>
      </c>
      <c r="H81" s="16"/>
    </row>
    <row r="82" spans="1:8" ht="27" customHeight="1">
      <c r="A82" s="17">
        <v>45270</v>
      </c>
      <c r="B82" s="11" t="s">
        <v>7</v>
      </c>
      <c r="C82" s="12">
        <v>87650</v>
      </c>
      <c r="D82" s="28"/>
      <c r="E82" s="15"/>
      <c r="F82" s="14">
        <f t="shared" si="0"/>
        <v>298300</v>
      </c>
      <c r="G82" s="16"/>
      <c r="H82" s="16"/>
    </row>
    <row r="83" spans="1:8" ht="27" customHeight="1">
      <c r="A83" s="17"/>
      <c r="B83" s="18"/>
      <c r="C83" s="19"/>
      <c r="D83" s="28"/>
      <c r="E83" s="15"/>
      <c r="F83" s="14">
        <f t="shared" si="0"/>
        <v>298300</v>
      </c>
      <c r="G83" s="16"/>
      <c r="H83" s="16"/>
    </row>
    <row r="84" spans="1:8" ht="27" customHeight="1">
      <c r="A84" s="17"/>
      <c r="B84" s="18" t="s">
        <v>70</v>
      </c>
      <c r="C84" s="19"/>
      <c r="D84" s="28"/>
      <c r="E84" s="15">
        <v>3500</v>
      </c>
      <c r="F84" s="14">
        <f t="shared" si="0"/>
        <v>294800</v>
      </c>
      <c r="G84" s="16"/>
      <c r="H84" s="16"/>
    </row>
    <row r="85" spans="1:8" ht="27" customHeight="1">
      <c r="A85" s="17"/>
      <c r="B85" s="18" t="s">
        <v>71</v>
      </c>
      <c r="C85" s="19"/>
      <c r="D85" s="28"/>
      <c r="E85" s="15">
        <v>4500</v>
      </c>
      <c r="F85" s="14">
        <f t="shared" si="0"/>
        <v>290300</v>
      </c>
      <c r="G85" s="16"/>
      <c r="H85" s="16"/>
    </row>
    <row r="86" spans="1:8" ht="27" customHeight="1">
      <c r="A86" s="17"/>
      <c r="B86" s="18" t="s">
        <v>72</v>
      </c>
      <c r="C86" s="19"/>
      <c r="D86" s="28"/>
      <c r="E86" s="15">
        <v>11000</v>
      </c>
      <c r="F86" s="14">
        <f t="shared" si="0"/>
        <v>279300</v>
      </c>
      <c r="G86" s="16"/>
      <c r="H86" s="16"/>
    </row>
    <row r="87" spans="1:8" ht="27" customHeight="1">
      <c r="A87" s="17"/>
      <c r="B87" s="18" t="s">
        <v>73</v>
      </c>
      <c r="C87" s="19"/>
      <c r="D87" s="28"/>
      <c r="E87" s="15">
        <v>2000</v>
      </c>
      <c r="F87" s="14">
        <f t="shared" si="0"/>
        <v>277300</v>
      </c>
      <c r="G87" s="16"/>
      <c r="H87" s="16"/>
    </row>
    <row r="88" spans="1:8" ht="27" customHeight="1">
      <c r="A88" s="17"/>
      <c r="B88" s="18" t="s">
        <v>74</v>
      </c>
      <c r="C88" s="19"/>
      <c r="D88" s="28"/>
      <c r="E88" s="15">
        <v>1000</v>
      </c>
      <c r="F88" s="14">
        <f t="shared" si="0"/>
        <v>276300</v>
      </c>
      <c r="G88" s="16">
        <f>SUM(E83:E88)</f>
        <v>22000</v>
      </c>
      <c r="H88" s="16"/>
    </row>
    <row r="89" spans="1:8" ht="27" customHeight="1">
      <c r="A89" s="17">
        <v>45271</v>
      </c>
      <c r="B89" s="11" t="s">
        <v>7</v>
      </c>
      <c r="C89" s="12">
        <v>40050</v>
      </c>
      <c r="D89" s="28"/>
      <c r="E89" s="15"/>
      <c r="F89" s="14">
        <f t="shared" si="0"/>
        <v>316350</v>
      </c>
      <c r="G89" s="16"/>
      <c r="H89" s="16"/>
    </row>
    <row r="90" spans="1:8" ht="27" customHeight="1">
      <c r="A90" s="17"/>
      <c r="B90" s="18" t="s">
        <v>75</v>
      </c>
      <c r="C90" s="19"/>
      <c r="D90" s="28"/>
      <c r="E90" s="15">
        <v>8000</v>
      </c>
      <c r="F90" s="14">
        <f t="shared" si="0"/>
        <v>308350</v>
      </c>
      <c r="G90" s="16"/>
      <c r="H90" s="16"/>
    </row>
    <row r="91" spans="1:8" ht="27" customHeight="1">
      <c r="A91" s="17"/>
      <c r="B91" s="18" t="s">
        <v>76</v>
      </c>
      <c r="C91" s="19"/>
      <c r="D91" s="28"/>
      <c r="E91" s="15">
        <v>1500</v>
      </c>
      <c r="F91" s="14">
        <f t="shared" si="0"/>
        <v>306850</v>
      </c>
      <c r="G91" s="16"/>
      <c r="H91" s="16"/>
    </row>
    <row r="92" spans="1:8" ht="27" customHeight="1">
      <c r="A92" s="17"/>
      <c r="B92" s="18" t="s">
        <v>77</v>
      </c>
      <c r="C92" s="19"/>
      <c r="D92" s="28"/>
      <c r="E92" s="15"/>
      <c r="F92" s="14">
        <f t="shared" si="0"/>
        <v>306850</v>
      </c>
      <c r="G92" s="16"/>
      <c r="H92" s="16"/>
    </row>
    <row r="93" spans="1:8" ht="27" customHeight="1">
      <c r="A93" s="17"/>
      <c r="B93" s="18" t="s">
        <v>78</v>
      </c>
      <c r="C93" s="19"/>
      <c r="D93" s="28"/>
      <c r="E93" s="15">
        <v>9000</v>
      </c>
      <c r="F93" s="14">
        <f t="shared" si="0"/>
        <v>297850</v>
      </c>
      <c r="G93" s="16"/>
      <c r="H93" s="16"/>
    </row>
    <row r="94" spans="1:8" ht="27" customHeight="1">
      <c r="A94" s="17"/>
      <c r="B94" s="18" t="s">
        <v>79</v>
      </c>
      <c r="C94" s="19"/>
      <c r="D94" s="28"/>
      <c r="E94" s="15">
        <v>5200</v>
      </c>
      <c r="F94" s="14">
        <f t="shared" si="0"/>
        <v>292650</v>
      </c>
      <c r="G94" s="16"/>
      <c r="H94" s="16"/>
    </row>
    <row r="95" spans="1:8" ht="27" customHeight="1">
      <c r="A95" s="17"/>
      <c r="B95" s="18" t="s">
        <v>80</v>
      </c>
      <c r="C95" s="19"/>
      <c r="D95" s="28"/>
      <c r="E95" s="15">
        <v>1000</v>
      </c>
      <c r="F95" s="14">
        <f t="shared" si="0"/>
        <v>291650</v>
      </c>
      <c r="G95" s="16"/>
      <c r="H95" s="16"/>
    </row>
    <row r="96" spans="1:8" ht="27" customHeight="1">
      <c r="A96" s="17"/>
      <c r="B96" s="18" t="s">
        <v>81</v>
      </c>
      <c r="C96" s="19"/>
      <c r="D96" s="28"/>
      <c r="E96" s="15">
        <v>2000</v>
      </c>
      <c r="F96" s="14">
        <f t="shared" si="0"/>
        <v>289650</v>
      </c>
      <c r="G96" s="16"/>
      <c r="H96" s="16"/>
    </row>
    <row r="97" spans="1:8" ht="27" customHeight="1">
      <c r="A97" s="17"/>
      <c r="B97" s="18" t="s">
        <v>82</v>
      </c>
      <c r="C97" s="19"/>
      <c r="D97" s="28"/>
      <c r="E97" s="15">
        <v>3000</v>
      </c>
      <c r="F97" s="14">
        <f t="shared" si="0"/>
        <v>286650</v>
      </c>
      <c r="G97" s="16"/>
      <c r="H97" s="16"/>
    </row>
    <row r="98" spans="1:8" ht="27" customHeight="1">
      <c r="A98" s="17"/>
      <c r="B98" s="18" t="s">
        <v>17</v>
      </c>
      <c r="C98" s="19"/>
      <c r="D98" s="28"/>
      <c r="E98" s="15">
        <v>1000</v>
      </c>
      <c r="F98" s="14">
        <f t="shared" si="0"/>
        <v>285650</v>
      </c>
      <c r="G98" s="16"/>
      <c r="H98" s="16"/>
    </row>
    <row r="99" spans="1:8" ht="27" customHeight="1">
      <c r="A99" s="17"/>
      <c r="B99" s="18" t="s">
        <v>83</v>
      </c>
      <c r="C99" s="19"/>
      <c r="D99" s="28"/>
      <c r="E99" s="15">
        <v>1000</v>
      </c>
      <c r="F99" s="14">
        <f t="shared" si="0"/>
        <v>284650</v>
      </c>
      <c r="G99" s="16">
        <f>SUM(E90:E99)</f>
        <v>31700</v>
      </c>
      <c r="H99" s="16"/>
    </row>
    <row r="100" spans="1:8" ht="27" customHeight="1">
      <c r="A100" s="17">
        <v>45272</v>
      </c>
      <c r="B100" s="11" t="s">
        <v>7</v>
      </c>
      <c r="C100" s="12">
        <v>47200</v>
      </c>
      <c r="D100" s="28"/>
      <c r="E100" s="15"/>
      <c r="F100" s="14">
        <f t="shared" si="0"/>
        <v>331850</v>
      </c>
      <c r="G100" s="16"/>
      <c r="H100" s="16"/>
    </row>
    <row r="101" spans="1:8" ht="27" customHeight="1">
      <c r="A101" s="17"/>
      <c r="B101" s="18" t="s">
        <v>84</v>
      </c>
      <c r="C101" s="19"/>
      <c r="D101" s="28"/>
      <c r="E101" s="15">
        <v>4000</v>
      </c>
      <c r="F101" s="14">
        <f t="shared" si="0"/>
        <v>327850</v>
      </c>
      <c r="G101" s="16"/>
      <c r="H101" s="16"/>
    </row>
    <row r="102" spans="1:8" ht="27" customHeight="1">
      <c r="A102" s="17"/>
      <c r="B102" s="18" t="s">
        <v>85</v>
      </c>
      <c r="C102" s="19"/>
      <c r="D102" s="28"/>
      <c r="E102" s="15">
        <v>500</v>
      </c>
      <c r="F102" s="14">
        <f t="shared" si="0"/>
        <v>327350</v>
      </c>
      <c r="G102" s="16"/>
      <c r="H102" s="16"/>
    </row>
    <row r="103" spans="1:8" ht="27" customHeight="1">
      <c r="A103" s="17"/>
      <c r="B103" s="18" t="s">
        <v>86</v>
      </c>
      <c r="C103" s="19"/>
      <c r="D103" s="28"/>
      <c r="E103" s="15">
        <v>500</v>
      </c>
      <c r="F103" s="14">
        <f t="shared" si="0"/>
        <v>326850</v>
      </c>
      <c r="G103" s="16"/>
      <c r="H103" s="16"/>
    </row>
    <row r="104" spans="1:8" ht="27" customHeight="1">
      <c r="A104" s="17"/>
      <c r="B104" s="18" t="s">
        <v>87</v>
      </c>
      <c r="C104" s="19"/>
      <c r="D104" s="28"/>
      <c r="E104" s="15">
        <v>1000</v>
      </c>
      <c r="F104" s="14">
        <f t="shared" si="0"/>
        <v>325850</v>
      </c>
      <c r="G104" s="16"/>
      <c r="H104" s="16"/>
    </row>
    <row r="105" spans="1:8" ht="27" customHeight="1">
      <c r="A105" s="17"/>
      <c r="B105" s="18" t="s">
        <v>88</v>
      </c>
      <c r="C105" s="19"/>
      <c r="D105" s="28"/>
      <c r="E105" s="15">
        <v>600</v>
      </c>
      <c r="F105" s="14">
        <f t="shared" si="0"/>
        <v>325250</v>
      </c>
      <c r="G105" s="16"/>
      <c r="H105" s="16"/>
    </row>
    <row r="106" spans="1:8" ht="27" customHeight="1">
      <c r="A106" s="17"/>
      <c r="B106" s="18" t="s">
        <v>89</v>
      </c>
      <c r="C106" s="19"/>
      <c r="D106" s="28"/>
      <c r="E106" s="15">
        <v>600</v>
      </c>
      <c r="F106" s="14">
        <f t="shared" si="0"/>
        <v>324650</v>
      </c>
      <c r="G106" s="16"/>
      <c r="H106" s="16"/>
    </row>
    <row r="107" spans="1:8" ht="27" customHeight="1">
      <c r="A107" s="17"/>
      <c r="B107" s="18" t="s">
        <v>90</v>
      </c>
      <c r="C107" s="19"/>
      <c r="D107" s="28"/>
      <c r="E107" s="15">
        <v>1200</v>
      </c>
      <c r="F107" s="14">
        <f t="shared" si="0"/>
        <v>323450</v>
      </c>
      <c r="G107" s="16">
        <f>SUM(E101:E107)</f>
        <v>8400</v>
      </c>
      <c r="H107" s="16"/>
    </row>
    <row r="108" spans="1:8" ht="27" customHeight="1">
      <c r="A108" s="17">
        <v>45273</v>
      </c>
      <c r="B108" s="11" t="s">
        <v>7</v>
      </c>
      <c r="C108" s="12">
        <v>27460</v>
      </c>
      <c r="D108" s="28"/>
      <c r="E108" s="15"/>
      <c r="F108" s="14">
        <f t="shared" si="0"/>
        <v>350910</v>
      </c>
      <c r="G108" s="16"/>
      <c r="H108" s="16"/>
    </row>
    <row r="109" spans="1:8" ht="27" customHeight="1">
      <c r="A109" s="17"/>
      <c r="B109" s="18" t="s">
        <v>103</v>
      </c>
      <c r="C109" s="19"/>
      <c r="D109" s="28"/>
      <c r="E109" s="15">
        <v>500</v>
      </c>
      <c r="F109" s="14">
        <f t="shared" si="0"/>
        <v>350410</v>
      </c>
      <c r="G109" s="16"/>
      <c r="H109" s="16"/>
    </row>
    <row r="110" spans="1:8" ht="27" customHeight="1">
      <c r="A110" s="17"/>
      <c r="B110" s="18" t="s">
        <v>91</v>
      </c>
      <c r="C110" s="19"/>
      <c r="D110" s="28"/>
      <c r="E110" s="15">
        <v>6000</v>
      </c>
      <c r="F110" s="14">
        <f t="shared" si="0"/>
        <v>344410</v>
      </c>
      <c r="G110" s="16"/>
      <c r="H110" s="16"/>
    </row>
    <row r="111" spans="1:8" ht="27" customHeight="1">
      <c r="A111" s="17"/>
      <c r="B111" s="18" t="s">
        <v>92</v>
      </c>
      <c r="C111" s="19"/>
      <c r="D111" s="28"/>
      <c r="E111" s="15">
        <v>6500</v>
      </c>
      <c r="F111" s="14">
        <f t="shared" si="0"/>
        <v>337910</v>
      </c>
      <c r="G111" s="16"/>
      <c r="H111" s="16"/>
    </row>
    <row r="112" spans="1:8" ht="27" customHeight="1">
      <c r="A112" s="17"/>
      <c r="B112" s="18" t="s">
        <v>93</v>
      </c>
      <c r="C112" s="19"/>
      <c r="D112" s="28"/>
      <c r="E112" s="15">
        <v>600</v>
      </c>
      <c r="F112" s="14">
        <f t="shared" si="0"/>
        <v>337310</v>
      </c>
      <c r="G112" s="16"/>
      <c r="H112" s="16"/>
    </row>
    <row r="113" spans="1:8" ht="27" customHeight="1">
      <c r="A113" s="17"/>
      <c r="B113" s="18" t="s">
        <v>101</v>
      </c>
      <c r="C113" s="19"/>
      <c r="D113" s="28"/>
      <c r="E113" s="15">
        <v>500</v>
      </c>
      <c r="F113" s="14">
        <f t="shared" si="0"/>
        <v>336810</v>
      </c>
      <c r="G113" s="16"/>
      <c r="H113" s="16"/>
    </row>
    <row r="114" spans="1:8" ht="27" customHeight="1">
      <c r="A114" s="17"/>
      <c r="B114" s="18" t="s">
        <v>102</v>
      </c>
      <c r="C114" s="19"/>
      <c r="D114" s="28"/>
      <c r="E114" s="15">
        <v>1000</v>
      </c>
      <c r="F114" s="14">
        <f t="shared" si="0"/>
        <v>335810</v>
      </c>
      <c r="G114" s="16"/>
      <c r="H114" s="16"/>
    </row>
    <row r="115" spans="1:8" ht="27" customHeight="1">
      <c r="A115" s="17"/>
      <c r="B115" s="18" t="s">
        <v>104</v>
      </c>
      <c r="C115" s="19"/>
      <c r="D115" s="28"/>
      <c r="E115" s="15">
        <v>500</v>
      </c>
      <c r="F115" s="14">
        <f t="shared" si="0"/>
        <v>335310</v>
      </c>
      <c r="G115" s="16">
        <f>SUM(E109:E115)</f>
        <v>15600</v>
      </c>
      <c r="H115" s="16"/>
    </row>
    <row r="116" spans="1:8" ht="27" customHeight="1">
      <c r="A116" s="17">
        <v>45274</v>
      </c>
      <c r="B116" s="11" t="s">
        <v>7</v>
      </c>
      <c r="C116" s="12">
        <v>76600</v>
      </c>
      <c r="D116" s="28"/>
      <c r="E116" s="15"/>
      <c r="F116" s="14">
        <f t="shared" si="0"/>
        <v>411910</v>
      </c>
      <c r="G116" s="16"/>
      <c r="H116" s="16"/>
    </row>
    <row r="117" spans="1:8" ht="27" customHeight="1">
      <c r="A117" s="17"/>
      <c r="B117" s="18" t="s">
        <v>151</v>
      </c>
      <c r="C117" s="12"/>
      <c r="D117" s="28">
        <v>200000</v>
      </c>
      <c r="E117" s="15"/>
      <c r="F117" s="14">
        <f t="shared" si="0"/>
        <v>211910</v>
      </c>
      <c r="G117" s="16"/>
      <c r="H117" s="16"/>
    </row>
    <row r="118" spans="1:8" ht="27" customHeight="1">
      <c r="A118" s="17"/>
      <c r="B118" s="18" t="s">
        <v>105</v>
      </c>
      <c r="C118" s="19"/>
      <c r="D118" s="28"/>
      <c r="E118" s="15">
        <v>2500</v>
      </c>
      <c r="F118" s="14">
        <f t="shared" si="0"/>
        <v>209410</v>
      </c>
      <c r="G118" s="16"/>
      <c r="H118" s="16"/>
    </row>
    <row r="119" spans="1:8" ht="27" customHeight="1">
      <c r="A119" s="17"/>
      <c r="B119" s="18" t="s">
        <v>106</v>
      </c>
      <c r="C119" s="19"/>
      <c r="D119" s="28"/>
      <c r="E119" s="15">
        <v>6500</v>
      </c>
      <c r="F119" s="14">
        <f t="shared" si="0"/>
        <v>202910</v>
      </c>
      <c r="G119" s="16"/>
      <c r="H119" s="16"/>
    </row>
    <row r="120" spans="1:8" ht="27" customHeight="1">
      <c r="A120" s="17"/>
      <c r="B120" s="18" t="s">
        <v>107</v>
      </c>
      <c r="C120" s="19"/>
      <c r="D120" s="28"/>
      <c r="E120" s="15">
        <v>4600</v>
      </c>
      <c r="F120" s="14">
        <f t="shared" si="0"/>
        <v>198310</v>
      </c>
      <c r="G120" s="16"/>
      <c r="H120" s="16"/>
    </row>
    <row r="121" spans="1:8" ht="27" customHeight="1">
      <c r="A121" s="17"/>
      <c r="B121" s="18" t="s">
        <v>108</v>
      </c>
      <c r="C121" s="19"/>
      <c r="D121" s="28"/>
      <c r="E121" s="15">
        <v>4500</v>
      </c>
      <c r="F121" s="14">
        <f t="shared" si="0"/>
        <v>193810</v>
      </c>
      <c r="G121" s="16"/>
      <c r="H121" s="16"/>
    </row>
    <row r="122" spans="1:8" ht="27" customHeight="1">
      <c r="A122" s="17"/>
      <c r="B122" s="18" t="s">
        <v>109</v>
      </c>
      <c r="C122" s="19"/>
      <c r="D122" s="28"/>
      <c r="E122" s="15">
        <v>4700</v>
      </c>
      <c r="F122" s="14">
        <f t="shared" si="0"/>
        <v>189110</v>
      </c>
      <c r="G122" s="16"/>
      <c r="H122" s="16"/>
    </row>
    <row r="123" spans="1:8" ht="27" customHeight="1">
      <c r="A123" s="17"/>
      <c r="B123" s="18" t="s">
        <v>110</v>
      </c>
      <c r="C123" s="19"/>
      <c r="D123" s="28"/>
      <c r="E123" s="15">
        <v>500</v>
      </c>
      <c r="F123" s="14">
        <f t="shared" si="0"/>
        <v>188610</v>
      </c>
      <c r="G123" s="16"/>
      <c r="H123" s="16"/>
    </row>
    <row r="124" spans="1:8" ht="27" customHeight="1">
      <c r="A124" s="17"/>
      <c r="B124" s="18" t="s">
        <v>111</v>
      </c>
      <c r="C124" s="19"/>
      <c r="D124" s="28"/>
      <c r="E124" s="15">
        <v>500</v>
      </c>
      <c r="F124" s="14">
        <f t="shared" si="0"/>
        <v>188110</v>
      </c>
      <c r="G124" s="16"/>
      <c r="H124" s="16"/>
    </row>
    <row r="125" spans="1:8" ht="27" customHeight="1">
      <c r="A125" s="17"/>
      <c r="B125" s="18" t="s">
        <v>89</v>
      </c>
      <c r="C125" s="19"/>
      <c r="D125" s="28"/>
      <c r="E125" s="15">
        <v>700</v>
      </c>
      <c r="F125" s="14">
        <f t="shared" si="0"/>
        <v>187410</v>
      </c>
      <c r="G125" s="16">
        <f>SUM(E118:E125)</f>
        <v>24500</v>
      </c>
      <c r="H125" s="16"/>
    </row>
    <row r="126" spans="1:8" ht="27" customHeight="1">
      <c r="A126" s="17">
        <v>45275</v>
      </c>
      <c r="B126" s="11" t="s">
        <v>7</v>
      </c>
      <c r="C126" s="12">
        <v>12000</v>
      </c>
      <c r="D126" s="28"/>
      <c r="E126" s="15"/>
      <c r="F126" s="14">
        <f t="shared" si="0"/>
        <v>199410</v>
      </c>
      <c r="G126" s="16"/>
      <c r="H126" s="16"/>
    </row>
    <row r="127" spans="1:8" ht="27" customHeight="1">
      <c r="A127" s="17"/>
      <c r="B127" s="18" t="s">
        <v>112</v>
      </c>
      <c r="C127" s="19"/>
      <c r="D127" s="28"/>
      <c r="E127" s="15">
        <v>5300</v>
      </c>
      <c r="F127" s="14">
        <f t="shared" si="0"/>
        <v>194110</v>
      </c>
      <c r="G127" s="16"/>
      <c r="H127" s="16"/>
    </row>
    <row r="128" spans="1:8" ht="27" customHeight="1">
      <c r="A128" s="17"/>
      <c r="B128" s="18" t="s">
        <v>20</v>
      </c>
      <c r="C128" s="19"/>
      <c r="D128" s="28"/>
      <c r="E128" s="15">
        <v>1000</v>
      </c>
      <c r="F128" s="14">
        <f t="shared" si="0"/>
        <v>193110</v>
      </c>
      <c r="G128" s="16"/>
      <c r="H128" s="16"/>
    </row>
    <row r="129" spans="1:8" ht="27" customHeight="1">
      <c r="A129" s="17"/>
      <c r="B129" s="18" t="s">
        <v>113</v>
      </c>
      <c r="C129" s="19"/>
      <c r="D129" s="28"/>
      <c r="E129" s="15">
        <v>2500</v>
      </c>
      <c r="F129" s="14">
        <f t="shared" si="0"/>
        <v>190610</v>
      </c>
      <c r="G129" s="16"/>
      <c r="H129" s="16"/>
    </row>
    <row r="130" spans="1:8" ht="27" customHeight="1">
      <c r="A130" s="17"/>
      <c r="B130" s="18" t="s">
        <v>114</v>
      </c>
      <c r="C130" s="19"/>
      <c r="D130" s="28"/>
      <c r="E130" s="15">
        <v>3000</v>
      </c>
      <c r="F130" s="14">
        <f t="shared" si="0"/>
        <v>187610</v>
      </c>
      <c r="G130" s="16"/>
      <c r="H130" s="16"/>
    </row>
    <row r="131" spans="1:8" ht="27" customHeight="1">
      <c r="A131" s="17"/>
      <c r="B131" s="18" t="s">
        <v>115</v>
      </c>
      <c r="C131" s="19"/>
      <c r="D131" s="28"/>
      <c r="E131" s="15">
        <v>2500</v>
      </c>
      <c r="F131" s="14">
        <f t="shared" si="0"/>
        <v>185110</v>
      </c>
      <c r="G131" s="16"/>
      <c r="H131" s="16"/>
    </row>
    <row r="132" spans="1:8" ht="27" customHeight="1">
      <c r="A132" s="17"/>
      <c r="B132" s="18" t="s">
        <v>116</v>
      </c>
      <c r="C132" s="19"/>
      <c r="D132" s="28"/>
      <c r="E132" s="15">
        <v>20000</v>
      </c>
      <c r="F132" s="14">
        <f t="shared" si="0"/>
        <v>165110</v>
      </c>
      <c r="G132" s="16"/>
      <c r="H132" s="16"/>
    </row>
    <row r="133" spans="1:8" ht="27" customHeight="1">
      <c r="A133" s="17"/>
      <c r="B133" s="18" t="s">
        <v>117</v>
      </c>
      <c r="C133" s="19"/>
      <c r="D133" s="28"/>
      <c r="E133" s="15">
        <v>500</v>
      </c>
      <c r="F133" s="14">
        <f t="shared" si="0"/>
        <v>164610</v>
      </c>
      <c r="G133" s="16"/>
      <c r="H133" s="16"/>
    </row>
    <row r="134" spans="1:8" ht="27" customHeight="1">
      <c r="A134" s="17"/>
      <c r="B134" s="18" t="s">
        <v>54</v>
      </c>
      <c r="C134" s="19"/>
      <c r="D134" s="28"/>
      <c r="E134" s="15">
        <v>1000</v>
      </c>
      <c r="F134" s="14">
        <f t="shared" si="0"/>
        <v>163610</v>
      </c>
      <c r="G134" s="16"/>
      <c r="H134" s="16"/>
    </row>
    <row r="135" spans="1:8" ht="27" customHeight="1">
      <c r="A135" s="17"/>
      <c r="B135" s="18" t="s">
        <v>118</v>
      </c>
      <c r="C135" s="19"/>
      <c r="D135" s="28"/>
      <c r="E135" s="15">
        <v>8000</v>
      </c>
      <c r="F135" s="14">
        <f t="shared" si="0"/>
        <v>155610</v>
      </c>
      <c r="G135" s="16"/>
      <c r="H135" s="16"/>
    </row>
    <row r="136" spans="1:8" ht="27" customHeight="1">
      <c r="A136" s="17"/>
      <c r="B136" s="18" t="s">
        <v>119</v>
      </c>
      <c r="C136" s="19"/>
      <c r="D136" s="28"/>
      <c r="E136" s="15">
        <v>2500</v>
      </c>
      <c r="F136" s="14">
        <f t="shared" si="0"/>
        <v>153110</v>
      </c>
      <c r="G136" s="16"/>
      <c r="H136" s="16"/>
    </row>
    <row r="137" spans="1:8" ht="27" customHeight="1">
      <c r="A137" s="17"/>
      <c r="B137" s="18" t="s">
        <v>120</v>
      </c>
      <c r="C137" s="19"/>
      <c r="D137" s="28"/>
      <c r="E137" s="15">
        <v>400</v>
      </c>
      <c r="F137" s="14">
        <f t="shared" si="0"/>
        <v>152710</v>
      </c>
      <c r="G137" s="16"/>
      <c r="H137" s="16"/>
    </row>
    <row r="138" spans="1:8" ht="27" customHeight="1">
      <c r="A138" s="17"/>
      <c r="B138" s="18" t="s">
        <v>121</v>
      </c>
      <c r="C138" s="19"/>
      <c r="D138" s="28"/>
      <c r="E138" s="15">
        <v>700</v>
      </c>
      <c r="F138" s="14">
        <f t="shared" si="0"/>
        <v>152010</v>
      </c>
      <c r="G138" s="16">
        <f>SUM(E127:E138)</f>
        <v>47400</v>
      </c>
      <c r="H138" s="16"/>
    </row>
    <row r="139" spans="1:8" ht="27" customHeight="1">
      <c r="A139" s="17">
        <v>45276</v>
      </c>
      <c r="B139" s="11" t="s">
        <v>7</v>
      </c>
      <c r="C139" s="12">
        <v>57200</v>
      </c>
      <c r="D139" s="28"/>
      <c r="E139" s="15"/>
      <c r="F139" s="14">
        <f t="shared" si="0"/>
        <v>209210</v>
      </c>
      <c r="G139" s="16"/>
      <c r="H139" s="16"/>
    </row>
    <row r="140" spans="1:8" ht="27" customHeight="1">
      <c r="A140" s="17"/>
      <c r="B140" s="18" t="s">
        <v>122</v>
      </c>
      <c r="C140" s="19"/>
      <c r="D140" s="28"/>
      <c r="E140" s="15">
        <v>2500</v>
      </c>
      <c r="F140" s="14">
        <f t="shared" si="0"/>
        <v>206710</v>
      </c>
      <c r="G140" s="16"/>
      <c r="H140" s="16"/>
    </row>
    <row r="141" spans="1:8" ht="27" customHeight="1">
      <c r="A141" s="17"/>
      <c r="B141" s="18" t="s">
        <v>126</v>
      </c>
      <c r="C141" s="19"/>
      <c r="D141" s="28"/>
      <c r="E141" s="15">
        <v>4800</v>
      </c>
      <c r="F141" s="14">
        <f t="shared" si="0"/>
        <v>201910</v>
      </c>
      <c r="G141" s="16"/>
      <c r="H141" s="16"/>
    </row>
    <row r="142" spans="1:8" ht="27" customHeight="1">
      <c r="A142" s="17"/>
      <c r="B142" s="18" t="s">
        <v>123</v>
      </c>
      <c r="C142" s="19"/>
      <c r="D142" s="28"/>
      <c r="E142" s="15">
        <v>500</v>
      </c>
      <c r="F142" s="14">
        <f t="shared" si="0"/>
        <v>201410</v>
      </c>
      <c r="G142" s="16"/>
      <c r="H142" s="16"/>
    </row>
    <row r="143" spans="1:8" ht="27" customHeight="1">
      <c r="A143" s="17"/>
      <c r="B143" s="18" t="s">
        <v>124</v>
      </c>
      <c r="C143" s="19"/>
      <c r="D143" s="28"/>
      <c r="E143" s="15">
        <v>500</v>
      </c>
      <c r="F143" s="14">
        <f t="shared" si="0"/>
        <v>200910</v>
      </c>
      <c r="G143" s="16"/>
      <c r="H143" s="16"/>
    </row>
    <row r="144" spans="1:8" ht="27" customHeight="1">
      <c r="A144" s="17"/>
      <c r="B144" s="18" t="s">
        <v>125</v>
      </c>
      <c r="C144" s="19"/>
      <c r="D144" s="28"/>
      <c r="E144" s="15">
        <v>1500</v>
      </c>
      <c r="F144" s="14">
        <f t="shared" si="0"/>
        <v>199410</v>
      </c>
      <c r="G144" s="16"/>
      <c r="H144" s="16"/>
    </row>
    <row r="145" spans="1:8" ht="27" customHeight="1">
      <c r="A145" s="17"/>
      <c r="B145" s="18" t="s">
        <v>127</v>
      </c>
      <c r="C145" s="19"/>
      <c r="D145" s="28"/>
      <c r="E145" s="15">
        <v>3000</v>
      </c>
      <c r="F145" s="14">
        <f t="shared" si="0"/>
        <v>196410</v>
      </c>
      <c r="G145" s="16"/>
      <c r="H145" s="16"/>
    </row>
    <row r="146" spans="1:8" ht="27" customHeight="1">
      <c r="A146" s="17"/>
      <c r="B146" s="18" t="s">
        <v>128</v>
      </c>
      <c r="C146" s="19"/>
      <c r="D146" s="28"/>
      <c r="E146" s="15">
        <v>1000</v>
      </c>
      <c r="F146" s="14">
        <f t="shared" si="0"/>
        <v>195410</v>
      </c>
      <c r="G146" s="16"/>
      <c r="H146" s="16"/>
    </row>
    <row r="147" spans="1:8" ht="27" customHeight="1">
      <c r="A147" s="17"/>
      <c r="B147" s="18" t="s">
        <v>20</v>
      </c>
      <c r="C147" s="19"/>
      <c r="D147" s="28"/>
      <c r="E147" s="15">
        <v>600</v>
      </c>
      <c r="F147" s="14">
        <f t="shared" ref="F147:F155" si="1">+F146+C147-D147-E147</f>
        <v>194810</v>
      </c>
      <c r="G147" s="16"/>
      <c r="H147" s="16"/>
    </row>
    <row r="148" spans="1:8" ht="27" customHeight="1">
      <c r="A148" s="17"/>
      <c r="B148" s="18" t="s">
        <v>137</v>
      </c>
      <c r="C148" s="19"/>
      <c r="D148" s="28"/>
      <c r="E148" s="15">
        <v>6500</v>
      </c>
      <c r="F148" s="14">
        <f t="shared" si="1"/>
        <v>188310</v>
      </c>
      <c r="G148" s="16"/>
      <c r="H148" s="16"/>
    </row>
    <row r="149" spans="1:8" ht="27" customHeight="1">
      <c r="A149" s="17"/>
      <c r="B149" s="18" t="s">
        <v>138</v>
      </c>
      <c r="C149" s="19"/>
      <c r="D149" s="28"/>
      <c r="E149" s="15">
        <v>5200</v>
      </c>
      <c r="F149" s="14">
        <f t="shared" si="1"/>
        <v>183110</v>
      </c>
      <c r="G149" s="16"/>
      <c r="H149" s="16"/>
    </row>
    <row r="150" spans="1:8" ht="27" customHeight="1">
      <c r="A150" s="17"/>
      <c r="B150" s="18" t="s">
        <v>139</v>
      </c>
      <c r="C150" s="19"/>
      <c r="D150" s="28"/>
      <c r="E150" s="15">
        <v>5200</v>
      </c>
      <c r="F150" s="14">
        <f t="shared" si="1"/>
        <v>177910</v>
      </c>
      <c r="G150" s="16"/>
      <c r="H150" s="16"/>
    </row>
    <row r="151" spans="1:8" ht="27" customHeight="1">
      <c r="A151" s="17"/>
      <c r="B151" s="18" t="s">
        <v>140</v>
      </c>
      <c r="C151" s="19"/>
      <c r="D151" s="28"/>
      <c r="E151" s="15">
        <v>2600</v>
      </c>
      <c r="F151" s="14">
        <f t="shared" si="1"/>
        <v>175310</v>
      </c>
      <c r="G151" s="16">
        <f>SUM(E140:E151)</f>
        <v>33900</v>
      </c>
      <c r="H151" s="16"/>
    </row>
    <row r="152" spans="1:8" ht="27" customHeight="1">
      <c r="A152" s="17">
        <v>45277</v>
      </c>
      <c r="B152" s="11" t="s">
        <v>7</v>
      </c>
      <c r="C152" s="12">
        <v>71000</v>
      </c>
      <c r="D152" s="28"/>
      <c r="E152" s="15"/>
      <c r="F152" s="14">
        <f t="shared" si="1"/>
        <v>246310</v>
      </c>
      <c r="G152" s="16"/>
      <c r="H152" s="16"/>
    </row>
    <row r="153" spans="1:8" ht="27" customHeight="1">
      <c r="A153" s="17"/>
      <c r="B153" s="18" t="s">
        <v>129</v>
      </c>
      <c r="C153" s="19"/>
      <c r="D153" s="28"/>
      <c r="E153" s="15">
        <v>4400</v>
      </c>
      <c r="F153" s="14">
        <f t="shared" si="1"/>
        <v>241910</v>
      </c>
      <c r="G153" s="16"/>
      <c r="H153" s="16"/>
    </row>
    <row r="154" spans="1:8" ht="27" customHeight="1">
      <c r="A154" s="17"/>
      <c r="B154" s="18" t="s">
        <v>87</v>
      </c>
      <c r="C154" s="19"/>
      <c r="D154" s="28"/>
      <c r="E154" s="15">
        <v>700</v>
      </c>
      <c r="F154" s="14">
        <f t="shared" si="1"/>
        <v>241210</v>
      </c>
      <c r="G154" s="16"/>
      <c r="H154" s="16"/>
    </row>
    <row r="155" spans="1:8" ht="27" customHeight="1">
      <c r="A155" s="17"/>
      <c r="B155" s="18" t="s">
        <v>130</v>
      </c>
      <c r="C155" s="19"/>
      <c r="D155" s="28"/>
      <c r="E155" s="15">
        <v>600</v>
      </c>
      <c r="F155" s="14">
        <f t="shared" si="1"/>
        <v>240610</v>
      </c>
      <c r="G155" s="16"/>
      <c r="H155" s="16"/>
    </row>
    <row r="156" spans="1:8" ht="27" customHeight="1">
      <c r="A156" s="17"/>
      <c r="B156" s="18" t="s">
        <v>131</v>
      </c>
      <c r="C156" s="19"/>
      <c r="D156" s="28"/>
      <c r="E156" s="15">
        <v>19100</v>
      </c>
      <c r="F156" s="14">
        <f t="shared" si="0"/>
        <v>221510</v>
      </c>
      <c r="G156" s="16"/>
      <c r="H156" s="16"/>
    </row>
    <row r="157" spans="1:8" ht="27" customHeight="1">
      <c r="A157" s="17"/>
      <c r="B157" s="18" t="s">
        <v>132</v>
      </c>
      <c r="C157" s="19"/>
      <c r="D157" s="28"/>
      <c r="E157" s="15">
        <v>5000</v>
      </c>
      <c r="F157" s="14">
        <f t="shared" si="0"/>
        <v>216510</v>
      </c>
      <c r="G157" s="16">
        <f>SUM(E153:E157)</f>
        <v>29800</v>
      </c>
      <c r="H157" s="16"/>
    </row>
    <row r="158" spans="1:8" ht="27" customHeight="1">
      <c r="A158" s="17">
        <v>45278</v>
      </c>
      <c r="B158" s="11" t="s">
        <v>7</v>
      </c>
      <c r="C158" s="12">
        <v>65500</v>
      </c>
      <c r="D158" s="28"/>
      <c r="E158" s="15"/>
      <c r="F158" s="14">
        <f t="shared" si="0"/>
        <v>282010</v>
      </c>
      <c r="G158" s="16"/>
      <c r="H158" s="16"/>
    </row>
    <row r="159" spans="1:8" ht="27" customHeight="1">
      <c r="A159" s="17"/>
      <c r="B159" s="18" t="s">
        <v>133</v>
      </c>
      <c r="C159" s="19"/>
      <c r="D159" s="28"/>
      <c r="E159" s="15">
        <v>3000</v>
      </c>
      <c r="F159" s="14">
        <f t="shared" si="0"/>
        <v>279010</v>
      </c>
      <c r="G159" s="16"/>
      <c r="H159" s="16"/>
    </row>
    <row r="160" spans="1:8" ht="27" customHeight="1">
      <c r="A160" s="17"/>
      <c r="B160" s="18" t="s">
        <v>76</v>
      </c>
      <c r="C160" s="19"/>
      <c r="D160" s="28"/>
      <c r="E160" s="15">
        <v>1500</v>
      </c>
      <c r="F160" s="14">
        <f t="shared" si="0"/>
        <v>277510</v>
      </c>
      <c r="G160" s="16"/>
      <c r="H160" s="16"/>
    </row>
    <row r="161" spans="1:8" ht="27" customHeight="1">
      <c r="A161" s="17"/>
      <c r="B161" s="18" t="s">
        <v>115</v>
      </c>
      <c r="C161" s="19"/>
      <c r="D161" s="28"/>
      <c r="E161" s="15">
        <v>2000</v>
      </c>
      <c r="F161" s="14">
        <f t="shared" si="0"/>
        <v>275510</v>
      </c>
      <c r="G161" s="16"/>
      <c r="H161" s="16"/>
    </row>
    <row r="162" spans="1:8" ht="27" customHeight="1">
      <c r="A162" s="17"/>
      <c r="B162" s="18" t="s">
        <v>134</v>
      </c>
      <c r="C162" s="19"/>
      <c r="D162" s="28"/>
      <c r="E162" s="15">
        <v>1500</v>
      </c>
      <c r="F162" s="14">
        <f t="shared" si="0"/>
        <v>274010</v>
      </c>
      <c r="G162" s="16"/>
      <c r="H162" s="16"/>
    </row>
    <row r="163" spans="1:8" ht="27" customHeight="1">
      <c r="A163" s="17"/>
      <c r="B163" s="18" t="s">
        <v>135</v>
      </c>
      <c r="C163" s="19"/>
      <c r="D163" s="28"/>
      <c r="E163" s="15">
        <v>1000</v>
      </c>
      <c r="F163" s="14">
        <f t="shared" si="0"/>
        <v>273010</v>
      </c>
      <c r="G163" s="16"/>
      <c r="H163" s="16"/>
    </row>
    <row r="164" spans="1:8" ht="27" customHeight="1">
      <c r="A164" s="17"/>
      <c r="B164" s="18" t="s">
        <v>136</v>
      </c>
      <c r="C164" s="19"/>
      <c r="D164" s="28"/>
      <c r="E164" s="15">
        <v>1600</v>
      </c>
      <c r="F164" s="14">
        <f t="shared" si="0"/>
        <v>271410</v>
      </c>
      <c r="G164" s="16"/>
      <c r="H164" s="16"/>
    </row>
    <row r="165" spans="1:8" ht="27" customHeight="1">
      <c r="A165" s="17"/>
      <c r="B165" s="18" t="s">
        <v>10</v>
      </c>
      <c r="C165" s="19"/>
      <c r="D165" s="28"/>
      <c r="E165" s="15">
        <v>22700</v>
      </c>
      <c r="F165" s="14">
        <f t="shared" si="0"/>
        <v>248710</v>
      </c>
      <c r="G165" s="16"/>
      <c r="H165" s="16"/>
    </row>
    <row r="166" spans="1:8" ht="27" customHeight="1">
      <c r="A166" s="17"/>
      <c r="B166" s="18" t="s">
        <v>141</v>
      </c>
      <c r="C166" s="19"/>
      <c r="D166" s="28"/>
      <c r="E166" s="15">
        <v>1000</v>
      </c>
      <c r="F166" s="14">
        <f t="shared" si="0"/>
        <v>247710</v>
      </c>
      <c r="G166" s="16">
        <f>SUM(E159:E166)</f>
        <v>34300</v>
      </c>
      <c r="H166" s="16"/>
    </row>
    <row r="167" spans="1:8" ht="27" customHeight="1">
      <c r="A167" s="17">
        <v>45279</v>
      </c>
      <c r="B167" s="11" t="s">
        <v>7</v>
      </c>
      <c r="C167" s="12">
        <v>58300</v>
      </c>
      <c r="D167" s="28"/>
      <c r="E167" s="15"/>
      <c r="F167" s="14">
        <f t="shared" si="0"/>
        <v>306010</v>
      </c>
      <c r="G167" s="16"/>
      <c r="H167" s="16"/>
    </row>
    <row r="168" spans="1:8" ht="27" customHeight="1">
      <c r="A168" s="17"/>
      <c r="B168" s="18" t="s">
        <v>142</v>
      </c>
      <c r="C168" s="19"/>
      <c r="D168" s="28"/>
      <c r="E168" s="15">
        <v>240000</v>
      </c>
      <c r="F168" s="14">
        <f t="shared" si="0"/>
        <v>66010</v>
      </c>
      <c r="G168" s="16"/>
      <c r="H168" s="16"/>
    </row>
    <row r="169" spans="1:8" ht="27" customHeight="1">
      <c r="A169" s="17"/>
      <c r="B169" s="18" t="s">
        <v>72</v>
      </c>
      <c r="C169" s="19"/>
      <c r="D169" s="28"/>
      <c r="E169" s="15">
        <v>10500</v>
      </c>
      <c r="F169" s="14">
        <f t="shared" si="0"/>
        <v>55510</v>
      </c>
      <c r="G169" s="16"/>
      <c r="H169" s="16"/>
    </row>
    <row r="170" spans="1:8" ht="27" customHeight="1">
      <c r="A170" s="17"/>
      <c r="B170" s="18" t="s">
        <v>143</v>
      </c>
      <c r="C170" s="19"/>
      <c r="D170" s="28"/>
      <c r="E170" s="15">
        <v>3000</v>
      </c>
      <c r="F170" s="14">
        <f t="shared" si="0"/>
        <v>52510</v>
      </c>
      <c r="G170" s="16"/>
      <c r="H170" s="16"/>
    </row>
    <row r="171" spans="1:8" ht="27" customHeight="1">
      <c r="A171" s="17"/>
      <c r="B171" s="18" t="s">
        <v>144</v>
      </c>
      <c r="C171" s="19"/>
      <c r="D171" s="28"/>
      <c r="E171" s="15">
        <v>1500</v>
      </c>
      <c r="F171" s="14">
        <f t="shared" si="0"/>
        <v>51010</v>
      </c>
      <c r="G171" s="16"/>
      <c r="H171" s="16"/>
    </row>
    <row r="172" spans="1:8" ht="27" customHeight="1">
      <c r="A172" s="17"/>
      <c r="B172" s="18" t="s">
        <v>145</v>
      </c>
      <c r="C172" s="19"/>
      <c r="D172" s="28"/>
      <c r="E172" s="15">
        <v>3000</v>
      </c>
      <c r="F172" s="14">
        <f t="shared" si="0"/>
        <v>48010</v>
      </c>
      <c r="G172" s="16"/>
      <c r="H172" s="16"/>
    </row>
    <row r="173" spans="1:8" ht="27" customHeight="1">
      <c r="A173" s="17"/>
      <c r="B173" s="18" t="s">
        <v>146</v>
      </c>
      <c r="C173" s="19"/>
      <c r="D173" s="28"/>
      <c r="E173" s="15">
        <v>2000</v>
      </c>
      <c r="F173" s="14">
        <f t="shared" si="0"/>
        <v>46010</v>
      </c>
      <c r="G173" s="16"/>
      <c r="H173" s="16"/>
    </row>
    <row r="174" spans="1:8" ht="27" customHeight="1">
      <c r="A174" s="17"/>
      <c r="B174" s="18" t="s">
        <v>147</v>
      </c>
      <c r="C174" s="19"/>
      <c r="D174" s="28"/>
      <c r="E174" s="15">
        <v>700</v>
      </c>
      <c r="F174" s="14">
        <f t="shared" si="0"/>
        <v>45310</v>
      </c>
      <c r="G174" s="16"/>
      <c r="H174" s="16"/>
    </row>
    <row r="175" spans="1:8" ht="27" customHeight="1">
      <c r="A175" s="17"/>
      <c r="B175" s="18" t="s">
        <v>148</v>
      </c>
      <c r="C175" s="19"/>
      <c r="D175" s="28"/>
      <c r="E175" s="15">
        <v>1000</v>
      </c>
      <c r="F175" s="14">
        <f t="shared" si="0"/>
        <v>44310</v>
      </c>
      <c r="G175" s="16"/>
      <c r="H175" s="16"/>
    </row>
    <row r="176" spans="1:8" ht="27" customHeight="1">
      <c r="A176" s="17"/>
      <c r="B176" s="18" t="s">
        <v>149</v>
      </c>
      <c r="C176" s="19"/>
      <c r="D176" s="28"/>
      <c r="E176" s="15">
        <v>500</v>
      </c>
      <c r="F176" s="14">
        <f t="shared" si="0"/>
        <v>43810</v>
      </c>
      <c r="G176" s="16">
        <f>SUM(E169:E176)</f>
        <v>22200</v>
      </c>
      <c r="H176" s="16"/>
    </row>
    <row r="177" spans="1:8" ht="27" customHeight="1">
      <c r="A177" s="17">
        <v>45280</v>
      </c>
      <c r="B177" s="11" t="s">
        <v>7</v>
      </c>
      <c r="C177" s="12">
        <v>33800</v>
      </c>
      <c r="D177" s="28"/>
      <c r="E177" s="15"/>
      <c r="F177" s="14">
        <f t="shared" si="0"/>
        <v>77610</v>
      </c>
      <c r="G177" s="16"/>
      <c r="H177" s="16"/>
    </row>
    <row r="178" spans="1:8" ht="27" customHeight="1">
      <c r="A178" s="17"/>
      <c r="B178" s="18" t="s">
        <v>152</v>
      </c>
      <c r="C178" s="19"/>
      <c r="D178" s="28"/>
      <c r="E178" s="15">
        <v>6500</v>
      </c>
      <c r="F178" s="14">
        <f t="shared" si="0"/>
        <v>71110</v>
      </c>
      <c r="G178" s="16"/>
      <c r="H178" s="16"/>
    </row>
    <row r="179" spans="1:8" ht="27" customHeight="1">
      <c r="A179" s="17"/>
      <c r="B179" s="18" t="s">
        <v>88</v>
      </c>
      <c r="C179" s="19"/>
      <c r="D179" s="28"/>
      <c r="E179" s="15">
        <v>600</v>
      </c>
      <c r="F179" s="14">
        <f t="shared" si="0"/>
        <v>70510</v>
      </c>
      <c r="G179" s="16"/>
      <c r="H179" s="16"/>
    </row>
    <row r="180" spans="1:8" ht="27" customHeight="1">
      <c r="A180" s="17"/>
      <c r="B180" s="18" t="s">
        <v>54</v>
      </c>
      <c r="C180" s="19"/>
      <c r="D180" s="28"/>
      <c r="E180" s="15">
        <v>1000</v>
      </c>
      <c r="F180" s="14">
        <f t="shared" si="0"/>
        <v>69510</v>
      </c>
      <c r="G180" s="16"/>
      <c r="H180" s="16"/>
    </row>
    <row r="181" spans="1:8" ht="27" customHeight="1">
      <c r="A181" s="17"/>
      <c r="B181" s="18" t="s">
        <v>150</v>
      </c>
      <c r="C181" s="19"/>
      <c r="D181" s="28"/>
      <c r="E181" s="15">
        <v>1500</v>
      </c>
      <c r="F181" s="14">
        <f t="shared" si="0"/>
        <v>68010</v>
      </c>
      <c r="G181" s="16"/>
      <c r="H181" s="16"/>
    </row>
    <row r="182" spans="1:8" ht="27" customHeight="1">
      <c r="A182" s="17"/>
      <c r="B182" s="18" t="s">
        <v>153</v>
      </c>
      <c r="C182" s="19"/>
      <c r="D182" s="28"/>
      <c r="E182" s="15">
        <v>1400</v>
      </c>
      <c r="F182" s="14">
        <f t="shared" si="0"/>
        <v>66610</v>
      </c>
      <c r="G182" s="16"/>
      <c r="H182" s="16"/>
    </row>
    <row r="183" spans="1:8" ht="27" customHeight="1">
      <c r="A183" s="17"/>
      <c r="B183" s="18" t="s">
        <v>154</v>
      </c>
      <c r="C183" s="19"/>
      <c r="D183" s="28"/>
      <c r="E183" s="15">
        <v>400</v>
      </c>
      <c r="F183" s="14">
        <f t="shared" si="0"/>
        <v>66210</v>
      </c>
      <c r="G183" s="16"/>
      <c r="H183" s="16"/>
    </row>
    <row r="184" spans="1:8" ht="27" customHeight="1">
      <c r="A184" s="17"/>
      <c r="B184" s="18" t="s">
        <v>155</v>
      </c>
      <c r="C184" s="19"/>
      <c r="D184" s="28"/>
      <c r="E184" s="15">
        <v>5000</v>
      </c>
      <c r="F184" s="14">
        <f t="shared" si="0"/>
        <v>61210</v>
      </c>
      <c r="G184" s="16"/>
      <c r="H184" s="16"/>
    </row>
    <row r="185" spans="1:8" ht="27" customHeight="1">
      <c r="A185" s="17"/>
      <c r="B185" s="18" t="s">
        <v>169</v>
      </c>
      <c r="C185" s="19"/>
      <c r="D185" s="28"/>
      <c r="E185" s="15">
        <v>2000</v>
      </c>
      <c r="F185" s="14">
        <f t="shared" si="0"/>
        <v>59210</v>
      </c>
      <c r="G185" s="16"/>
      <c r="H185" s="16"/>
    </row>
    <row r="186" spans="1:8" ht="27" customHeight="1">
      <c r="A186" s="17"/>
      <c r="B186" s="18" t="s">
        <v>170</v>
      </c>
      <c r="C186" s="19"/>
      <c r="D186" s="28"/>
      <c r="E186" s="15">
        <v>500</v>
      </c>
      <c r="F186" s="14">
        <f t="shared" si="0"/>
        <v>58710</v>
      </c>
      <c r="G186" s="16"/>
      <c r="H186" s="16"/>
    </row>
    <row r="187" spans="1:8" ht="27" customHeight="1">
      <c r="A187" s="17"/>
      <c r="B187" s="18" t="s">
        <v>156</v>
      </c>
      <c r="C187" s="19"/>
      <c r="D187" s="28"/>
      <c r="E187" s="15">
        <v>1000</v>
      </c>
      <c r="F187" s="14">
        <f t="shared" si="0"/>
        <v>57710</v>
      </c>
      <c r="G187" s="16">
        <f>SUM(E178:E187)</f>
        <v>19900</v>
      </c>
      <c r="H187" s="16"/>
    </row>
    <row r="188" spans="1:8" ht="27" customHeight="1">
      <c r="A188" s="17">
        <v>45281</v>
      </c>
      <c r="B188" s="11" t="s">
        <v>7</v>
      </c>
      <c r="C188" s="12">
        <v>64300</v>
      </c>
      <c r="D188" s="28"/>
      <c r="E188" s="15"/>
      <c r="F188" s="14">
        <f t="shared" si="0"/>
        <v>122010</v>
      </c>
      <c r="G188" s="16"/>
      <c r="H188" s="16"/>
    </row>
    <row r="189" spans="1:8" ht="27" customHeight="1">
      <c r="A189" s="17"/>
      <c r="B189" s="18" t="s">
        <v>157</v>
      </c>
      <c r="C189" s="19"/>
      <c r="D189" s="28"/>
      <c r="E189" s="15">
        <v>2500</v>
      </c>
      <c r="F189" s="14">
        <f t="shared" si="0"/>
        <v>119510</v>
      </c>
      <c r="G189" s="16"/>
      <c r="H189" s="16"/>
    </row>
    <row r="190" spans="1:8" ht="27" customHeight="1">
      <c r="A190" s="17"/>
      <c r="B190" s="18" t="s">
        <v>158</v>
      </c>
      <c r="C190" s="19"/>
      <c r="D190" s="28"/>
      <c r="E190" s="15">
        <v>1800</v>
      </c>
      <c r="F190" s="14">
        <f t="shared" si="0"/>
        <v>117710</v>
      </c>
      <c r="G190" s="16"/>
      <c r="H190" s="16"/>
    </row>
    <row r="191" spans="1:8" ht="27" customHeight="1">
      <c r="A191" s="17"/>
      <c r="B191" s="18" t="s">
        <v>159</v>
      </c>
      <c r="C191" s="19"/>
      <c r="D191" s="28"/>
      <c r="E191" s="15">
        <v>11000</v>
      </c>
      <c r="F191" s="14">
        <f t="shared" si="0"/>
        <v>106710</v>
      </c>
      <c r="G191" s="16"/>
      <c r="H191" s="16"/>
    </row>
    <row r="192" spans="1:8" ht="27" customHeight="1">
      <c r="A192" s="17"/>
      <c r="B192" s="18" t="s">
        <v>160</v>
      </c>
      <c r="C192" s="19"/>
      <c r="D192" s="28"/>
      <c r="E192" s="15">
        <v>1000</v>
      </c>
      <c r="F192" s="14">
        <f t="shared" si="0"/>
        <v>105710</v>
      </c>
      <c r="G192" s="16"/>
      <c r="H192" s="16"/>
    </row>
    <row r="193" spans="1:8" ht="27" customHeight="1">
      <c r="A193" s="17"/>
      <c r="B193" s="18" t="s">
        <v>161</v>
      </c>
      <c r="C193" s="19"/>
      <c r="D193" s="28"/>
      <c r="E193" s="15">
        <v>2000</v>
      </c>
      <c r="F193" s="14">
        <f t="shared" si="0"/>
        <v>103710</v>
      </c>
      <c r="G193" s="16"/>
      <c r="H193" s="16"/>
    </row>
    <row r="194" spans="1:8" ht="27" customHeight="1">
      <c r="A194" s="17"/>
      <c r="B194" s="18" t="s">
        <v>147</v>
      </c>
      <c r="C194" s="19"/>
      <c r="D194" s="28"/>
      <c r="E194" s="15">
        <v>1000</v>
      </c>
      <c r="F194" s="14">
        <f t="shared" si="0"/>
        <v>102710</v>
      </c>
      <c r="G194" s="16"/>
      <c r="H194" s="16"/>
    </row>
    <row r="195" spans="1:8" ht="27" customHeight="1">
      <c r="A195" s="17"/>
      <c r="B195" s="18" t="s">
        <v>162</v>
      </c>
      <c r="C195" s="19"/>
      <c r="D195" s="28"/>
      <c r="E195" s="15">
        <v>300</v>
      </c>
      <c r="F195" s="14">
        <f t="shared" si="0"/>
        <v>102410</v>
      </c>
      <c r="G195" s="16"/>
      <c r="H195" s="16"/>
    </row>
    <row r="196" spans="1:8" ht="27" customHeight="1">
      <c r="A196" s="17"/>
      <c r="B196" s="18" t="s">
        <v>163</v>
      </c>
      <c r="C196" s="19"/>
      <c r="D196" s="28"/>
      <c r="E196" s="15">
        <v>150</v>
      </c>
      <c r="F196" s="14">
        <f t="shared" si="0"/>
        <v>102260</v>
      </c>
      <c r="G196" s="16"/>
      <c r="H196" s="16"/>
    </row>
    <row r="197" spans="1:8" ht="27" customHeight="1">
      <c r="A197" s="17"/>
      <c r="B197" s="18" t="s">
        <v>164</v>
      </c>
      <c r="C197" s="19"/>
      <c r="D197" s="28"/>
      <c r="E197" s="15">
        <v>5000</v>
      </c>
      <c r="F197" s="14">
        <f t="shared" si="0"/>
        <v>97260</v>
      </c>
      <c r="G197" s="16">
        <f>SUM(E189:E197)</f>
        <v>24750</v>
      </c>
      <c r="H197" s="16"/>
    </row>
    <row r="198" spans="1:8" ht="27" customHeight="1">
      <c r="A198" s="17">
        <v>45282</v>
      </c>
      <c r="B198" s="11" t="s">
        <v>7</v>
      </c>
      <c r="C198" s="12">
        <v>24500</v>
      </c>
      <c r="D198" s="28"/>
      <c r="E198" s="15"/>
      <c r="F198" s="14">
        <f t="shared" si="0"/>
        <v>121760</v>
      </c>
      <c r="G198" s="16"/>
      <c r="H198" s="16"/>
    </row>
    <row r="199" spans="1:8" ht="27" customHeight="1">
      <c r="A199" s="17"/>
      <c r="B199" s="18" t="s">
        <v>165</v>
      </c>
      <c r="C199" s="19"/>
      <c r="D199" s="28"/>
      <c r="E199" s="15">
        <v>5000</v>
      </c>
      <c r="F199" s="14">
        <f t="shared" si="0"/>
        <v>116760</v>
      </c>
      <c r="G199" s="16"/>
      <c r="H199" s="16"/>
    </row>
    <row r="200" spans="1:8" ht="27" customHeight="1">
      <c r="A200" s="17"/>
      <c r="B200" s="18" t="s">
        <v>166</v>
      </c>
      <c r="C200" s="19"/>
      <c r="D200" s="28"/>
      <c r="E200" s="15">
        <v>3000</v>
      </c>
      <c r="F200" s="14">
        <f t="shared" si="0"/>
        <v>113760</v>
      </c>
      <c r="G200" s="16"/>
      <c r="H200" s="16"/>
    </row>
    <row r="201" spans="1:8" ht="27" customHeight="1">
      <c r="A201" s="17"/>
      <c r="B201" s="18" t="s">
        <v>207</v>
      </c>
      <c r="C201" s="19"/>
      <c r="D201" s="28"/>
      <c r="E201" s="15">
        <v>4700</v>
      </c>
      <c r="F201" s="14">
        <f t="shared" si="0"/>
        <v>109060</v>
      </c>
      <c r="G201" s="16"/>
      <c r="H201" s="16"/>
    </row>
    <row r="202" spans="1:8" ht="27" customHeight="1">
      <c r="A202" s="17"/>
      <c r="B202" s="18" t="s">
        <v>167</v>
      </c>
      <c r="C202" s="19"/>
      <c r="D202" s="28"/>
      <c r="E202" s="15">
        <v>500</v>
      </c>
      <c r="F202" s="14">
        <f t="shared" si="0"/>
        <v>108560</v>
      </c>
      <c r="G202" s="16">
        <f>SUM(E199:E202)</f>
        <v>13200</v>
      </c>
      <c r="H202" s="16"/>
    </row>
    <row r="203" spans="1:8" ht="27" customHeight="1">
      <c r="A203" s="17">
        <v>45283</v>
      </c>
      <c r="B203" s="11" t="s">
        <v>7</v>
      </c>
      <c r="C203" s="12">
        <v>46700</v>
      </c>
      <c r="D203" s="28"/>
      <c r="E203" s="15"/>
      <c r="F203" s="14">
        <f t="shared" si="0"/>
        <v>155260</v>
      </c>
      <c r="G203" s="16"/>
      <c r="H203" s="16"/>
    </row>
    <row r="204" spans="1:8" ht="27" customHeight="1">
      <c r="A204" s="17"/>
      <c r="B204" s="18" t="s">
        <v>168</v>
      </c>
      <c r="C204" s="19"/>
      <c r="D204" s="28"/>
      <c r="E204" s="15">
        <v>5000</v>
      </c>
      <c r="F204" s="14">
        <f t="shared" si="0"/>
        <v>150260</v>
      </c>
      <c r="G204" s="16"/>
      <c r="H204" s="16"/>
    </row>
    <row r="205" spans="1:8" ht="27" customHeight="1">
      <c r="A205" s="17"/>
      <c r="B205" s="18" t="s">
        <v>171</v>
      </c>
      <c r="C205" s="19"/>
      <c r="D205" s="28"/>
      <c r="E205" s="15">
        <v>500</v>
      </c>
      <c r="F205" s="14">
        <f t="shared" si="0"/>
        <v>149760</v>
      </c>
      <c r="G205" s="16"/>
      <c r="H205" s="16"/>
    </row>
    <row r="206" spans="1:8" ht="27" customHeight="1">
      <c r="A206" s="17"/>
      <c r="B206" s="18" t="s">
        <v>20</v>
      </c>
      <c r="C206" s="19"/>
      <c r="D206" s="28"/>
      <c r="E206" s="15">
        <v>600</v>
      </c>
      <c r="F206" s="14">
        <f t="shared" si="0"/>
        <v>149160</v>
      </c>
      <c r="G206" s="16"/>
      <c r="H206" s="16"/>
    </row>
    <row r="207" spans="1:8" ht="27" customHeight="1">
      <c r="A207" s="17"/>
      <c r="B207" s="18" t="s">
        <v>172</v>
      </c>
      <c r="C207" s="19"/>
      <c r="D207" s="28"/>
      <c r="E207" s="15">
        <v>500</v>
      </c>
      <c r="F207" s="14">
        <f t="shared" si="0"/>
        <v>148660</v>
      </c>
      <c r="G207" s="16"/>
      <c r="H207" s="16"/>
    </row>
    <row r="208" spans="1:8" ht="27" customHeight="1">
      <c r="A208" s="17"/>
      <c r="B208" s="18" t="s">
        <v>15</v>
      </c>
      <c r="C208" s="19"/>
      <c r="D208" s="28"/>
      <c r="E208" s="15">
        <v>500</v>
      </c>
      <c r="F208" s="14">
        <f t="shared" si="0"/>
        <v>148160</v>
      </c>
      <c r="G208" s="16">
        <f>SUM(E204:E208)</f>
        <v>7100</v>
      </c>
      <c r="H208" s="16"/>
    </row>
    <row r="209" spans="1:8" ht="27" customHeight="1">
      <c r="A209" s="17">
        <v>45284</v>
      </c>
      <c r="B209" s="11" t="s">
        <v>7</v>
      </c>
      <c r="C209" s="12">
        <v>89200</v>
      </c>
      <c r="D209" s="28"/>
      <c r="E209" s="15"/>
      <c r="F209" s="14">
        <f t="shared" si="0"/>
        <v>237360</v>
      </c>
      <c r="G209" s="16"/>
      <c r="H209" s="16"/>
    </row>
    <row r="210" spans="1:8" ht="27" customHeight="1">
      <c r="A210" s="17"/>
      <c r="B210" s="18" t="s">
        <v>173</v>
      </c>
      <c r="C210" s="19"/>
      <c r="D210" s="28"/>
      <c r="E210" s="15">
        <v>4000</v>
      </c>
      <c r="F210" s="14">
        <f t="shared" si="0"/>
        <v>233360</v>
      </c>
      <c r="G210" s="16"/>
      <c r="H210" s="16"/>
    </row>
    <row r="211" spans="1:8" ht="27" customHeight="1">
      <c r="A211" s="17"/>
      <c r="B211" s="18" t="s">
        <v>174</v>
      </c>
      <c r="C211" s="19"/>
      <c r="D211" s="28"/>
      <c r="E211" s="15">
        <v>2000</v>
      </c>
      <c r="F211" s="14">
        <f t="shared" si="0"/>
        <v>231360</v>
      </c>
      <c r="G211" s="16"/>
      <c r="H211" s="16"/>
    </row>
    <row r="212" spans="1:8" ht="27" customHeight="1">
      <c r="A212" s="17"/>
      <c r="B212" s="18" t="s">
        <v>175</v>
      </c>
      <c r="C212" s="19"/>
      <c r="D212" s="28"/>
      <c r="E212" s="15">
        <v>1000</v>
      </c>
      <c r="F212" s="14">
        <f t="shared" si="0"/>
        <v>230360</v>
      </c>
      <c r="G212" s="16"/>
      <c r="H212" s="16"/>
    </row>
    <row r="213" spans="1:8" ht="27" customHeight="1">
      <c r="A213" s="17"/>
      <c r="B213" s="18" t="s">
        <v>177</v>
      </c>
      <c r="C213" s="19"/>
      <c r="D213" s="28"/>
      <c r="E213" s="15">
        <v>1500</v>
      </c>
      <c r="F213" s="14">
        <f t="shared" si="0"/>
        <v>228860</v>
      </c>
      <c r="G213" s="16"/>
      <c r="H213" s="16"/>
    </row>
    <row r="214" spans="1:8" ht="27" customHeight="1">
      <c r="A214" s="17"/>
      <c r="B214" s="18" t="s">
        <v>176</v>
      </c>
      <c r="C214" s="19"/>
      <c r="D214" s="28"/>
      <c r="E214" s="15">
        <v>500</v>
      </c>
      <c r="F214" s="14">
        <f t="shared" si="0"/>
        <v>228360</v>
      </c>
      <c r="G214" s="16">
        <f>SUM(E210:E214)</f>
        <v>9000</v>
      </c>
      <c r="H214" s="16"/>
    </row>
    <row r="215" spans="1:8" ht="27" customHeight="1">
      <c r="A215" s="17">
        <v>45285</v>
      </c>
      <c r="B215" s="11" t="s">
        <v>7</v>
      </c>
      <c r="C215" s="12">
        <v>69500</v>
      </c>
      <c r="D215" s="28"/>
      <c r="E215" s="15"/>
      <c r="F215" s="14">
        <f t="shared" si="0"/>
        <v>297860</v>
      </c>
      <c r="G215" s="16"/>
      <c r="H215" s="16"/>
    </row>
    <row r="216" spans="1:8" ht="27" customHeight="1">
      <c r="A216" s="17"/>
      <c r="B216" s="18" t="s">
        <v>178</v>
      </c>
      <c r="C216" s="19"/>
      <c r="D216" s="28"/>
      <c r="E216" s="15">
        <v>800</v>
      </c>
      <c r="F216" s="14">
        <f t="shared" si="0"/>
        <v>297060</v>
      </c>
      <c r="G216" s="16"/>
      <c r="H216" s="16"/>
    </row>
    <row r="217" spans="1:8" ht="27" customHeight="1">
      <c r="A217" s="17"/>
      <c r="B217" s="18" t="s">
        <v>179</v>
      </c>
      <c r="C217" s="19"/>
      <c r="D217" s="28"/>
      <c r="E217" s="15">
        <v>500</v>
      </c>
      <c r="F217" s="14">
        <f t="shared" si="0"/>
        <v>296560</v>
      </c>
      <c r="G217" s="16">
        <f>SUM(E216:E217)</f>
        <v>1300</v>
      </c>
      <c r="H217" s="16"/>
    </row>
    <row r="218" spans="1:8" ht="27" customHeight="1">
      <c r="A218" s="17">
        <v>45286</v>
      </c>
      <c r="B218" s="11" t="s">
        <v>7</v>
      </c>
      <c r="C218" s="12">
        <v>67400</v>
      </c>
      <c r="D218" s="28"/>
      <c r="E218" s="15"/>
      <c r="F218" s="14">
        <f t="shared" si="0"/>
        <v>363960</v>
      </c>
      <c r="G218" s="16"/>
      <c r="H218" s="16"/>
    </row>
    <row r="219" spans="1:8" ht="27" customHeight="1">
      <c r="A219" s="17"/>
      <c r="B219" s="18" t="s">
        <v>180</v>
      </c>
      <c r="C219" s="19"/>
      <c r="D219" s="28"/>
      <c r="E219" s="15">
        <v>2000</v>
      </c>
      <c r="F219" s="14">
        <f t="shared" si="0"/>
        <v>361960</v>
      </c>
      <c r="G219" s="16"/>
      <c r="H219" s="16"/>
    </row>
    <row r="220" spans="1:8" ht="27" customHeight="1">
      <c r="A220" s="17"/>
      <c r="B220" s="18" t="s">
        <v>181</v>
      </c>
      <c r="C220" s="19"/>
      <c r="D220" s="28"/>
      <c r="E220" s="15">
        <v>500</v>
      </c>
      <c r="F220" s="14">
        <f t="shared" si="0"/>
        <v>361460</v>
      </c>
      <c r="G220" s="16"/>
      <c r="H220" s="16"/>
    </row>
    <row r="221" spans="1:8" ht="27" customHeight="1">
      <c r="A221" s="17"/>
      <c r="B221" s="18" t="s">
        <v>182</v>
      </c>
      <c r="C221" s="19"/>
      <c r="D221" s="28"/>
      <c r="E221" s="15">
        <v>5500</v>
      </c>
      <c r="F221" s="14">
        <f t="shared" si="0"/>
        <v>355960</v>
      </c>
      <c r="G221" s="16"/>
      <c r="H221" s="16"/>
    </row>
    <row r="222" spans="1:8" ht="27" customHeight="1">
      <c r="A222" s="17"/>
      <c r="B222" s="18" t="s">
        <v>105</v>
      </c>
      <c r="C222" s="19"/>
      <c r="D222" s="28"/>
      <c r="E222" s="15">
        <v>2500</v>
      </c>
      <c r="F222" s="14">
        <f t="shared" si="0"/>
        <v>353460</v>
      </c>
      <c r="G222" s="16"/>
      <c r="H222" s="16"/>
    </row>
    <row r="223" spans="1:8" ht="27" customHeight="1">
      <c r="A223" s="17"/>
      <c r="B223" s="18" t="s">
        <v>183</v>
      </c>
      <c r="C223" s="19"/>
      <c r="D223" s="28"/>
      <c r="E223" s="15">
        <v>1000</v>
      </c>
      <c r="F223" s="14">
        <f t="shared" si="0"/>
        <v>352460</v>
      </c>
      <c r="G223" s="16"/>
      <c r="H223" s="16"/>
    </row>
    <row r="224" spans="1:8" ht="27" customHeight="1">
      <c r="A224" s="17"/>
      <c r="B224" s="18" t="s">
        <v>184</v>
      </c>
      <c r="C224" s="19"/>
      <c r="D224" s="28"/>
      <c r="E224" s="15">
        <v>600</v>
      </c>
      <c r="F224" s="14">
        <f t="shared" si="0"/>
        <v>351860</v>
      </c>
      <c r="G224" s="16"/>
      <c r="H224" s="16"/>
    </row>
    <row r="225" spans="1:8" ht="27" customHeight="1">
      <c r="A225" s="17"/>
      <c r="B225" s="18" t="s">
        <v>185</v>
      </c>
      <c r="C225" s="19"/>
      <c r="D225" s="28"/>
      <c r="E225" s="15">
        <v>600</v>
      </c>
      <c r="F225" s="14">
        <f t="shared" si="0"/>
        <v>351260</v>
      </c>
      <c r="G225" s="16">
        <f>SUM(E219:E225)</f>
        <v>12700</v>
      </c>
      <c r="H225" s="16"/>
    </row>
    <row r="226" spans="1:8" ht="27" customHeight="1">
      <c r="A226" s="17">
        <v>45287</v>
      </c>
      <c r="B226" s="11" t="s">
        <v>7</v>
      </c>
      <c r="C226" s="12">
        <v>42800</v>
      </c>
      <c r="D226" s="28"/>
      <c r="E226" s="15"/>
      <c r="F226" s="14">
        <f t="shared" si="0"/>
        <v>394060</v>
      </c>
      <c r="G226" s="16"/>
      <c r="H226" s="16"/>
    </row>
    <row r="227" spans="1:8" ht="27" customHeight="1">
      <c r="A227" s="17"/>
      <c r="B227" s="18" t="s">
        <v>186</v>
      </c>
      <c r="C227" s="19"/>
      <c r="D227" s="28"/>
      <c r="E227" s="15">
        <v>3000</v>
      </c>
      <c r="F227" s="14">
        <f t="shared" si="0"/>
        <v>391060</v>
      </c>
      <c r="G227" s="16"/>
      <c r="H227" s="16"/>
    </row>
    <row r="228" spans="1:8" ht="27" customHeight="1">
      <c r="A228" s="17"/>
      <c r="B228" s="18" t="s">
        <v>187</v>
      </c>
      <c r="C228" s="19"/>
      <c r="D228" s="28"/>
      <c r="E228" s="15">
        <v>3900</v>
      </c>
      <c r="F228" s="14">
        <f t="shared" si="0"/>
        <v>387160</v>
      </c>
      <c r="G228" s="16"/>
      <c r="H228" s="16"/>
    </row>
    <row r="229" spans="1:8" ht="27" customHeight="1">
      <c r="A229" s="17"/>
      <c r="B229" s="18" t="s">
        <v>188</v>
      </c>
      <c r="C229" s="19"/>
      <c r="D229" s="28"/>
      <c r="E229" s="15">
        <v>1500</v>
      </c>
      <c r="F229" s="14">
        <f t="shared" si="0"/>
        <v>385660</v>
      </c>
      <c r="G229" s="16"/>
      <c r="H229" s="16"/>
    </row>
    <row r="230" spans="1:8" ht="27" customHeight="1">
      <c r="A230" s="17"/>
      <c r="B230" s="18" t="s">
        <v>147</v>
      </c>
      <c r="C230" s="19"/>
      <c r="D230" s="28"/>
      <c r="E230" s="15">
        <v>600</v>
      </c>
      <c r="F230" s="14">
        <f t="shared" si="0"/>
        <v>385060</v>
      </c>
      <c r="G230" s="16"/>
      <c r="H230" s="16"/>
    </row>
    <row r="231" spans="1:8" ht="27" customHeight="1">
      <c r="A231" s="17"/>
      <c r="B231" s="18" t="s">
        <v>189</v>
      </c>
      <c r="C231" s="19"/>
      <c r="D231" s="28"/>
      <c r="E231" s="15">
        <v>2500</v>
      </c>
      <c r="F231" s="14">
        <f t="shared" si="0"/>
        <v>382560</v>
      </c>
      <c r="G231" s="16"/>
      <c r="H231" s="16"/>
    </row>
    <row r="232" spans="1:8" ht="27" customHeight="1">
      <c r="A232" s="17"/>
      <c r="B232" s="18" t="s">
        <v>190</v>
      </c>
      <c r="C232" s="19"/>
      <c r="D232" s="28"/>
      <c r="E232" s="15">
        <v>1500</v>
      </c>
      <c r="F232" s="14">
        <f t="shared" si="0"/>
        <v>381060</v>
      </c>
      <c r="G232" s="16"/>
      <c r="H232" s="16"/>
    </row>
    <row r="233" spans="1:8" ht="27" customHeight="1">
      <c r="A233" s="17"/>
      <c r="B233" s="18" t="s">
        <v>199</v>
      </c>
      <c r="C233" s="19"/>
      <c r="D233" s="28"/>
      <c r="E233" s="15">
        <v>4000</v>
      </c>
      <c r="F233" s="14">
        <f t="shared" si="0"/>
        <v>377060</v>
      </c>
      <c r="G233" s="16"/>
      <c r="H233" s="16"/>
    </row>
    <row r="234" spans="1:8" ht="27" customHeight="1">
      <c r="A234" s="17"/>
      <c r="B234" s="18" t="s">
        <v>191</v>
      </c>
      <c r="C234" s="19"/>
      <c r="D234" s="28"/>
      <c r="E234" s="15">
        <v>500</v>
      </c>
      <c r="F234" s="14">
        <f t="shared" si="0"/>
        <v>376560</v>
      </c>
      <c r="G234" s="16">
        <f>SUM(E227:E234)</f>
        <v>17500</v>
      </c>
      <c r="H234" s="16"/>
    </row>
    <row r="235" spans="1:8" ht="27" customHeight="1">
      <c r="A235" s="17">
        <v>45288</v>
      </c>
      <c r="B235" s="11" t="s">
        <v>7</v>
      </c>
      <c r="C235" s="12">
        <v>39800</v>
      </c>
      <c r="D235" s="28"/>
      <c r="E235" s="15"/>
      <c r="F235" s="14">
        <f t="shared" si="0"/>
        <v>416360</v>
      </c>
      <c r="G235" s="16"/>
      <c r="H235" s="16"/>
    </row>
    <row r="236" spans="1:8" ht="27" customHeight="1">
      <c r="A236" s="17"/>
      <c r="B236" s="18" t="s">
        <v>192</v>
      </c>
      <c r="C236" s="19"/>
      <c r="D236" s="28"/>
      <c r="E236" s="15">
        <v>4000</v>
      </c>
      <c r="F236" s="14">
        <f t="shared" si="0"/>
        <v>412360</v>
      </c>
      <c r="G236" s="16"/>
      <c r="H236" s="16"/>
    </row>
    <row r="237" spans="1:8" ht="27" customHeight="1">
      <c r="A237" s="17"/>
      <c r="B237" s="18" t="s">
        <v>193</v>
      </c>
      <c r="C237" s="19"/>
      <c r="D237" s="28"/>
      <c r="E237" s="15">
        <v>1000</v>
      </c>
      <c r="F237" s="14">
        <f t="shared" si="0"/>
        <v>411360</v>
      </c>
      <c r="G237" s="16"/>
      <c r="H237" s="16"/>
    </row>
    <row r="238" spans="1:8" ht="27" customHeight="1">
      <c r="A238" s="17"/>
      <c r="B238" s="18" t="s">
        <v>194</v>
      </c>
      <c r="C238" s="19"/>
      <c r="D238" s="28"/>
      <c r="E238" s="15">
        <v>1000</v>
      </c>
      <c r="F238" s="14">
        <f t="shared" si="0"/>
        <v>410360</v>
      </c>
      <c r="G238" s="16"/>
      <c r="H238" s="16"/>
    </row>
    <row r="239" spans="1:8" ht="27" customHeight="1">
      <c r="A239" s="17"/>
      <c r="B239" s="18" t="s">
        <v>195</v>
      </c>
      <c r="C239" s="19"/>
      <c r="D239" s="28"/>
      <c r="E239" s="15">
        <v>500</v>
      </c>
      <c r="F239" s="14">
        <f t="shared" si="0"/>
        <v>409860</v>
      </c>
      <c r="G239" s="16"/>
      <c r="H239" s="16"/>
    </row>
    <row r="240" spans="1:8" ht="27" customHeight="1">
      <c r="A240" s="17"/>
      <c r="B240" s="18" t="s">
        <v>196</v>
      </c>
      <c r="C240" s="19"/>
      <c r="D240" s="28"/>
      <c r="E240" s="15">
        <v>1000</v>
      </c>
      <c r="F240" s="14">
        <f t="shared" si="0"/>
        <v>408860</v>
      </c>
      <c r="G240" s="16"/>
      <c r="H240" s="16"/>
    </row>
    <row r="241" spans="1:8" ht="27" customHeight="1">
      <c r="A241" s="17"/>
      <c r="B241" s="18" t="s">
        <v>197</v>
      </c>
      <c r="C241" s="19"/>
      <c r="D241" s="28"/>
      <c r="E241" s="15">
        <v>7500</v>
      </c>
      <c r="F241" s="14">
        <f t="shared" si="0"/>
        <v>401360</v>
      </c>
      <c r="G241" s="16"/>
      <c r="H241" s="16"/>
    </row>
    <row r="242" spans="1:8" ht="27" customHeight="1">
      <c r="A242" s="17"/>
      <c r="B242" s="18" t="s">
        <v>198</v>
      </c>
      <c r="C242" s="19"/>
      <c r="D242" s="28"/>
      <c r="E242" s="15">
        <v>8500</v>
      </c>
      <c r="F242" s="14">
        <f t="shared" si="0"/>
        <v>392860</v>
      </c>
      <c r="G242" s="16"/>
      <c r="H242" s="16"/>
    </row>
    <row r="243" spans="1:8" ht="27" customHeight="1">
      <c r="A243" s="17"/>
      <c r="B243" s="18" t="s">
        <v>180</v>
      </c>
      <c r="C243" s="19"/>
      <c r="D243" s="28"/>
      <c r="E243" s="15">
        <v>2500</v>
      </c>
      <c r="F243" s="14">
        <f t="shared" si="0"/>
        <v>390360</v>
      </c>
      <c r="G243" s="16"/>
      <c r="H243" s="16"/>
    </row>
    <row r="244" spans="1:8" ht="27" customHeight="1">
      <c r="A244" s="17"/>
      <c r="B244" s="18" t="s">
        <v>54</v>
      </c>
      <c r="C244" s="19"/>
      <c r="D244" s="28"/>
      <c r="E244" s="15">
        <v>1000</v>
      </c>
      <c r="F244" s="14">
        <f t="shared" si="0"/>
        <v>389360</v>
      </c>
      <c r="G244" s="16"/>
      <c r="H244" s="16"/>
    </row>
    <row r="245" spans="1:8" ht="27" customHeight="1">
      <c r="A245" s="17"/>
      <c r="B245" s="18" t="s">
        <v>200</v>
      </c>
      <c r="C245" s="19"/>
      <c r="D245" s="28"/>
      <c r="E245" s="15">
        <v>1000</v>
      </c>
      <c r="F245" s="14">
        <f t="shared" si="0"/>
        <v>388360</v>
      </c>
      <c r="G245" s="16">
        <f>SUM(E236:E245)</f>
        <v>28000</v>
      </c>
      <c r="H245" s="16"/>
    </row>
    <row r="246" spans="1:8" ht="27" customHeight="1">
      <c r="A246" s="17"/>
      <c r="B246" s="18" t="s">
        <v>201</v>
      </c>
      <c r="C246" s="19"/>
      <c r="D246" s="28">
        <v>300000</v>
      </c>
      <c r="E246" s="15"/>
      <c r="F246" s="14">
        <f t="shared" si="0"/>
        <v>88360</v>
      </c>
      <c r="G246" s="16"/>
      <c r="H246" s="16"/>
    </row>
    <row r="247" spans="1:8" ht="27" customHeight="1">
      <c r="A247" s="17">
        <v>45289</v>
      </c>
      <c r="B247" s="11" t="s">
        <v>7</v>
      </c>
      <c r="C247" s="12">
        <v>42700</v>
      </c>
      <c r="D247" s="28"/>
      <c r="E247" s="15"/>
      <c r="F247" s="14">
        <f t="shared" si="0"/>
        <v>131060</v>
      </c>
      <c r="G247" s="16"/>
      <c r="H247" s="16"/>
    </row>
    <row r="248" spans="1:8" ht="27" customHeight="1">
      <c r="A248" s="17"/>
      <c r="B248" s="18" t="s">
        <v>202</v>
      </c>
      <c r="C248" s="19"/>
      <c r="D248" s="28"/>
      <c r="E248" s="15">
        <v>12000</v>
      </c>
      <c r="F248" s="14">
        <f t="shared" si="0"/>
        <v>119060</v>
      </c>
      <c r="G248" s="16"/>
      <c r="H248" s="16"/>
    </row>
    <row r="249" spans="1:8" ht="27" customHeight="1">
      <c r="A249" s="17"/>
      <c r="B249" s="18" t="s">
        <v>203</v>
      </c>
      <c r="C249" s="19"/>
      <c r="D249" s="28"/>
      <c r="E249" s="15">
        <v>1500</v>
      </c>
      <c r="F249" s="14">
        <f t="shared" si="0"/>
        <v>117560</v>
      </c>
      <c r="G249" s="16"/>
      <c r="H249" s="16"/>
    </row>
    <row r="250" spans="1:8" ht="27" customHeight="1">
      <c r="A250" s="17"/>
      <c r="B250" s="18" t="s">
        <v>204</v>
      </c>
      <c r="C250" s="19"/>
      <c r="D250" s="28"/>
      <c r="E250" s="15">
        <v>4500</v>
      </c>
      <c r="F250" s="14">
        <f t="shared" si="0"/>
        <v>113060</v>
      </c>
      <c r="G250" s="16"/>
      <c r="H250" s="16"/>
    </row>
    <row r="251" spans="1:8" ht="27" customHeight="1">
      <c r="A251" s="17"/>
      <c r="B251" s="18" t="s">
        <v>205</v>
      </c>
      <c r="C251" s="19"/>
      <c r="D251" s="28"/>
      <c r="E251" s="15">
        <v>1000</v>
      </c>
      <c r="F251" s="14">
        <f t="shared" si="0"/>
        <v>112060</v>
      </c>
      <c r="G251" s="16"/>
      <c r="H251" s="16"/>
    </row>
    <row r="252" spans="1:8" ht="27" customHeight="1">
      <c r="A252" s="17"/>
      <c r="B252" s="18" t="s">
        <v>206</v>
      </c>
      <c r="C252" s="19"/>
      <c r="D252" s="28"/>
      <c r="E252" s="15">
        <v>1600</v>
      </c>
      <c r="F252" s="14">
        <f t="shared" si="0"/>
        <v>110460</v>
      </c>
      <c r="G252" s="16"/>
      <c r="H252" s="16"/>
    </row>
    <row r="253" spans="1:8" ht="27" customHeight="1">
      <c r="A253" s="17"/>
      <c r="B253" s="18" t="s">
        <v>208</v>
      </c>
      <c r="C253" s="19"/>
      <c r="D253" s="28"/>
      <c r="E253" s="15">
        <v>1000</v>
      </c>
      <c r="F253" s="14">
        <f t="shared" si="0"/>
        <v>109460</v>
      </c>
      <c r="G253" s="16"/>
      <c r="H253" s="16"/>
    </row>
    <row r="254" spans="1:8" ht="27" customHeight="1">
      <c r="A254" s="17"/>
      <c r="B254" s="18" t="s">
        <v>209</v>
      </c>
      <c r="C254" s="19"/>
      <c r="D254" s="28"/>
      <c r="E254" s="15">
        <v>500</v>
      </c>
      <c r="F254" s="14">
        <f t="shared" si="0"/>
        <v>108960</v>
      </c>
      <c r="G254" s="16"/>
      <c r="H254" s="16"/>
    </row>
    <row r="255" spans="1:8" ht="27" customHeight="1">
      <c r="A255" s="17"/>
      <c r="B255" s="18" t="s">
        <v>210</v>
      </c>
      <c r="C255" s="19"/>
      <c r="D255" s="28"/>
      <c r="E255" s="15">
        <v>800</v>
      </c>
      <c r="F255" s="14">
        <f t="shared" si="0"/>
        <v>108160</v>
      </c>
      <c r="G255" s="16">
        <f>SUM(E248:E255)</f>
        <v>22900</v>
      </c>
      <c r="H255" s="16"/>
    </row>
    <row r="256" spans="1:8" ht="27" customHeight="1">
      <c r="A256" s="17">
        <v>45290</v>
      </c>
      <c r="B256" s="11" t="s">
        <v>7</v>
      </c>
      <c r="C256" s="12">
        <v>28800</v>
      </c>
      <c r="D256" s="28"/>
      <c r="E256" s="15"/>
      <c r="F256" s="14">
        <f t="shared" si="0"/>
        <v>136960</v>
      </c>
      <c r="G256" s="16"/>
      <c r="H256" s="16"/>
    </row>
    <row r="257" spans="1:8" ht="27" customHeight="1">
      <c r="A257" s="17"/>
      <c r="B257" s="18" t="s">
        <v>72</v>
      </c>
      <c r="C257" s="19"/>
      <c r="D257" s="28"/>
      <c r="E257" s="15">
        <v>11300</v>
      </c>
      <c r="F257" s="14">
        <f t="shared" si="0"/>
        <v>125660</v>
      </c>
      <c r="G257" s="16"/>
      <c r="H257" s="16"/>
    </row>
    <row r="258" spans="1:8" ht="27" customHeight="1">
      <c r="A258" s="17"/>
      <c r="B258" s="18" t="s">
        <v>88</v>
      </c>
      <c r="C258" s="19"/>
      <c r="D258" s="28"/>
      <c r="E258" s="15">
        <v>1000</v>
      </c>
      <c r="F258" s="14">
        <f t="shared" si="0"/>
        <v>124660</v>
      </c>
      <c r="G258" s="16"/>
      <c r="H258" s="16"/>
    </row>
    <row r="259" spans="1:8" ht="27" customHeight="1">
      <c r="A259" s="17"/>
      <c r="B259" s="18" t="s">
        <v>76</v>
      </c>
      <c r="C259" s="19"/>
      <c r="D259" s="28"/>
      <c r="E259" s="15">
        <v>1000</v>
      </c>
      <c r="F259" s="14">
        <f t="shared" si="0"/>
        <v>123660</v>
      </c>
      <c r="G259" s="16"/>
      <c r="H259" s="16"/>
    </row>
    <row r="260" spans="1:8" ht="27" customHeight="1">
      <c r="A260" s="17"/>
      <c r="B260" s="18" t="s">
        <v>211</v>
      </c>
      <c r="C260" s="19"/>
      <c r="D260" s="28"/>
      <c r="E260" s="15">
        <v>1500</v>
      </c>
      <c r="F260" s="14">
        <f t="shared" si="0"/>
        <v>122160</v>
      </c>
      <c r="G260" s="16"/>
      <c r="H260" s="16"/>
    </row>
    <row r="261" spans="1:8" ht="27" customHeight="1">
      <c r="A261" s="17"/>
      <c r="B261" s="18" t="s">
        <v>213</v>
      </c>
      <c r="C261" s="19"/>
      <c r="D261" s="28"/>
      <c r="E261" s="15">
        <v>1000</v>
      </c>
      <c r="F261" s="14">
        <f t="shared" si="0"/>
        <v>121160</v>
      </c>
      <c r="G261" s="16"/>
      <c r="H261" s="16"/>
    </row>
    <row r="262" spans="1:8" ht="27" customHeight="1">
      <c r="A262" s="17"/>
      <c r="B262" s="18" t="s">
        <v>214</v>
      </c>
      <c r="C262" s="19"/>
      <c r="D262" s="28"/>
      <c r="E262" s="15">
        <v>1300</v>
      </c>
      <c r="F262" s="14">
        <f t="shared" si="0"/>
        <v>119860</v>
      </c>
      <c r="G262" s="16"/>
      <c r="H262" s="16"/>
    </row>
    <row r="263" spans="1:8" ht="27" customHeight="1">
      <c r="A263" s="17"/>
      <c r="B263" s="18" t="s">
        <v>215</v>
      </c>
      <c r="C263" s="19"/>
      <c r="D263" s="28"/>
      <c r="E263" s="15">
        <v>1000</v>
      </c>
      <c r="F263" s="14">
        <f t="shared" si="0"/>
        <v>118860</v>
      </c>
      <c r="G263" s="16">
        <f>SUM(E257:E263)</f>
        <v>18100</v>
      </c>
      <c r="H263" s="16"/>
    </row>
    <row r="264" spans="1:8" ht="27" customHeight="1">
      <c r="A264" s="17">
        <v>45291</v>
      </c>
      <c r="B264" s="11" t="s">
        <v>7</v>
      </c>
      <c r="C264" s="12"/>
      <c r="D264" s="28"/>
      <c r="E264" s="15"/>
      <c r="F264" s="14">
        <f t="shared" si="0"/>
        <v>118860</v>
      </c>
      <c r="G264" s="16"/>
      <c r="H264" s="16"/>
    </row>
    <row r="265" spans="1:8" ht="27" customHeight="1">
      <c r="A265" s="17"/>
      <c r="B265" s="18" t="s">
        <v>212</v>
      </c>
      <c r="C265" s="19"/>
      <c r="D265" s="28"/>
      <c r="E265" s="15">
        <v>8000</v>
      </c>
      <c r="F265" s="14">
        <f t="shared" si="0"/>
        <v>110860</v>
      </c>
      <c r="G265" s="16"/>
      <c r="H265" s="16"/>
    </row>
    <row r="266" spans="1:8" ht="27" customHeight="1">
      <c r="A266" s="17"/>
      <c r="B266" s="18" t="s">
        <v>216</v>
      </c>
      <c r="C266" s="19"/>
      <c r="D266" s="28"/>
      <c r="E266" s="15">
        <v>1000</v>
      </c>
      <c r="F266" s="14">
        <f t="shared" si="0"/>
        <v>109860</v>
      </c>
      <c r="G266" s="16"/>
      <c r="H266" s="16"/>
    </row>
    <row r="267" spans="1:8" ht="27" customHeight="1">
      <c r="A267" s="17"/>
      <c r="B267" s="18" t="s">
        <v>217</v>
      </c>
      <c r="C267" s="19"/>
      <c r="D267" s="28"/>
      <c r="E267" s="15">
        <v>1000</v>
      </c>
      <c r="F267" s="14">
        <f t="shared" ref="F267:F274" si="2">+F266+C267-D267-E267</f>
        <v>108860</v>
      </c>
      <c r="G267" s="16"/>
      <c r="H267" s="16"/>
    </row>
    <row r="268" spans="1:8" ht="27" customHeight="1">
      <c r="A268" s="17"/>
      <c r="B268" s="18" t="s">
        <v>218</v>
      </c>
      <c r="C268" s="19"/>
      <c r="D268" s="28"/>
      <c r="E268" s="15">
        <v>1000</v>
      </c>
      <c r="F268" s="14">
        <f t="shared" si="2"/>
        <v>107860</v>
      </c>
      <c r="G268" s="16"/>
      <c r="H268" s="16"/>
    </row>
    <row r="269" spans="1:8" ht="27" customHeight="1">
      <c r="A269" s="17"/>
      <c r="B269" s="18" t="s">
        <v>219</v>
      </c>
      <c r="C269" s="19"/>
      <c r="D269" s="28"/>
      <c r="E269" s="15">
        <v>6500</v>
      </c>
      <c r="F269" s="14">
        <f t="shared" si="2"/>
        <v>101360</v>
      </c>
      <c r="G269" s="16"/>
      <c r="H269" s="16"/>
    </row>
    <row r="270" spans="1:8" ht="27" customHeight="1">
      <c r="A270" s="17"/>
      <c r="B270" s="18" t="s">
        <v>220</v>
      </c>
      <c r="C270" s="19"/>
      <c r="D270" s="28"/>
      <c r="E270" s="15">
        <v>1300</v>
      </c>
      <c r="F270" s="14">
        <f t="shared" si="2"/>
        <v>100060</v>
      </c>
      <c r="G270" s="16"/>
      <c r="H270" s="16"/>
    </row>
    <row r="271" spans="1:8" ht="27" customHeight="1">
      <c r="A271" s="17"/>
      <c r="B271" s="18" t="s">
        <v>221</v>
      </c>
      <c r="C271" s="19"/>
      <c r="D271" s="28"/>
      <c r="E271" s="15">
        <v>1500</v>
      </c>
      <c r="F271" s="14">
        <f t="shared" si="2"/>
        <v>98560</v>
      </c>
      <c r="G271" s="16"/>
      <c r="H271" s="16"/>
    </row>
    <row r="272" spans="1:8" ht="27" customHeight="1">
      <c r="A272" s="17"/>
      <c r="B272" s="18" t="s">
        <v>222</v>
      </c>
      <c r="C272" s="19"/>
      <c r="D272" s="28"/>
      <c r="E272" s="15">
        <v>2400</v>
      </c>
      <c r="F272" s="14">
        <f t="shared" si="2"/>
        <v>96160</v>
      </c>
      <c r="G272" s="16"/>
      <c r="H272" s="16"/>
    </row>
    <row r="273" spans="1:17" ht="27" customHeight="1">
      <c r="A273" s="17"/>
      <c r="B273" s="18" t="s">
        <v>87</v>
      </c>
      <c r="C273" s="19"/>
      <c r="D273" s="28"/>
      <c r="E273" s="15">
        <v>700</v>
      </c>
      <c r="F273" s="14">
        <f t="shared" si="2"/>
        <v>95460</v>
      </c>
      <c r="G273" s="16">
        <f>SUM(E265:E273)</f>
        <v>23400</v>
      </c>
      <c r="H273" s="16"/>
    </row>
    <row r="274" spans="1:17" ht="27" customHeight="1">
      <c r="A274" s="17"/>
      <c r="B274" s="18"/>
      <c r="C274" s="19"/>
      <c r="D274" s="28"/>
      <c r="E274" s="15"/>
      <c r="F274" s="14">
        <f t="shared" si="2"/>
        <v>95460</v>
      </c>
      <c r="G274" s="16"/>
      <c r="H274" s="16"/>
    </row>
    <row r="275" spans="1:17" ht="25.5" customHeight="1" thickBot="1">
      <c r="A275" s="17"/>
      <c r="B275" s="11"/>
      <c r="C275" s="20"/>
      <c r="D275" s="29"/>
      <c r="E275" s="21"/>
      <c r="F275" s="14">
        <f t="shared" ref="F275" si="3">+F274+C275-D275-E275</f>
        <v>95460</v>
      </c>
      <c r="O275" s="16"/>
      <c r="Q275" s="16"/>
    </row>
    <row r="276" spans="1:17" ht="36" customHeight="1" thickTop="1" thickBot="1">
      <c r="A276" s="22"/>
      <c r="B276" s="23"/>
      <c r="C276" s="24">
        <f>SUM(C4:C275)</f>
        <v>1804710</v>
      </c>
      <c r="D276" s="24">
        <f>SUM(D4:D275)</f>
        <v>500000</v>
      </c>
      <c r="E276" s="25">
        <f>SUM(E4:E275)</f>
        <v>1209250</v>
      </c>
      <c r="F276" s="25">
        <f>+F275</f>
        <v>95460</v>
      </c>
      <c r="Q276" s="16"/>
    </row>
    <row r="277" spans="1:17" ht="15.75" thickTop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7"/>
  <sheetViews>
    <sheetView tabSelected="1" workbookViewId="0">
      <selection activeCell="C18" sqref="C18"/>
    </sheetView>
  </sheetViews>
  <sheetFormatPr defaultRowHeight="15"/>
  <cols>
    <col min="1" max="1" width="12.42578125" customWidth="1"/>
    <col min="2" max="2" width="69.7109375" customWidth="1"/>
    <col min="3" max="3" width="18.42578125" customWidth="1"/>
    <col min="4" max="4" width="15.7109375" customWidth="1"/>
    <col min="5" max="5" width="16.42578125" customWidth="1"/>
    <col min="6" max="6" width="16.140625" customWidth="1"/>
    <col min="7" max="7" width="9.7109375" customWidth="1"/>
  </cols>
  <sheetData>
    <row r="1" spans="1:9" ht="18">
      <c r="A1" s="1"/>
      <c r="B1" s="2" t="s">
        <v>21</v>
      </c>
      <c r="C1" s="3"/>
      <c r="D1" s="3"/>
      <c r="E1" s="4"/>
      <c r="F1" s="4"/>
      <c r="G1" s="4"/>
    </row>
    <row r="2" spans="1:9" ht="18.75" thickBot="1">
      <c r="A2" s="1"/>
      <c r="B2" s="2" t="s">
        <v>223</v>
      </c>
      <c r="C2" s="3"/>
      <c r="D2" s="3"/>
      <c r="E2" s="4"/>
      <c r="F2" s="4"/>
      <c r="G2" s="4"/>
    </row>
    <row r="3" spans="1:9" ht="34.5" thickTop="1" thickBot="1">
      <c r="A3" s="5" t="s">
        <v>1</v>
      </c>
      <c r="B3" s="6" t="s">
        <v>2</v>
      </c>
      <c r="C3" s="7" t="s">
        <v>3</v>
      </c>
      <c r="D3" s="26" t="s">
        <v>22</v>
      </c>
      <c r="E3" s="7" t="s">
        <v>4</v>
      </c>
      <c r="F3" s="8" t="s">
        <v>5</v>
      </c>
      <c r="G3" s="9"/>
    </row>
    <row r="4" spans="1:9" ht="22.5" thickTop="1">
      <c r="A4" s="10">
        <v>45261</v>
      </c>
      <c r="B4" s="11" t="s">
        <v>224</v>
      </c>
      <c r="C4" s="12">
        <v>96160</v>
      </c>
      <c r="D4" s="27"/>
      <c r="E4" s="13"/>
      <c r="F4" s="14">
        <f>+C4-E4</f>
        <v>96160</v>
      </c>
      <c r="G4" s="4"/>
    </row>
    <row r="5" spans="1:9" ht="21.75">
      <c r="A5" s="10">
        <v>45292</v>
      </c>
      <c r="B5" s="11" t="s">
        <v>7</v>
      </c>
      <c r="C5" s="12">
        <v>66400</v>
      </c>
      <c r="D5" s="27"/>
      <c r="E5" s="15"/>
      <c r="F5" s="14">
        <f>+F4+C5-D5-E5</f>
        <v>162560</v>
      </c>
      <c r="G5" s="16"/>
    </row>
    <row r="6" spans="1:9" ht="21.75">
      <c r="A6" s="17"/>
      <c r="B6" s="18" t="s">
        <v>226</v>
      </c>
      <c r="C6" s="19"/>
      <c r="D6" s="28"/>
      <c r="E6" s="15">
        <v>4600</v>
      </c>
      <c r="F6" s="14">
        <f t="shared" ref="F6:F69" si="0">+F5+C6-D6-E6</f>
        <v>157960</v>
      </c>
      <c r="G6" s="16"/>
    </row>
    <row r="7" spans="1:9" ht="21.75">
      <c r="A7" s="17"/>
      <c r="B7" s="18" t="s">
        <v>225</v>
      </c>
      <c r="C7" s="19"/>
      <c r="D7" s="28"/>
      <c r="E7" s="15">
        <v>5500</v>
      </c>
      <c r="F7" s="14">
        <f t="shared" si="0"/>
        <v>152460</v>
      </c>
      <c r="G7" s="16">
        <f>SUM(E6:E7)</f>
        <v>10100</v>
      </c>
    </row>
    <row r="8" spans="1:9" ht="21.75">
      <c r="A8" s="10">
        <v>45293</v>
      </c>
      <c r="B8" s="11" t="s">
        <v>7</v>
      </c>
      <c r="C8" s="12">
        <v>57600</v>
      </c>
      <c r="D8" s="28"/>
      <c r="E8" s="15"/>
      <c r="F8" s="14">
        <f t="shared" si="0"/>
        <v>210060</v>
      </c>
      <c r="G8" s="16"/>
    </row>
    <row r="9" spans="1:9" ht="21.75">
      <c r="A9" s="17"/>
      <c r="B9" s="18" t="s">
        <v>20</v>
      </c>
      <c r="C9" s="19"/>
      <c r="D9" s="28"/>
      <c r="E9" s="15">
        <v>500</v>
      </c>
      <c r="F9" s="14">
        <f t="shared" si="0"/>
        <v>209560</v>
      </c>
      <c r="G9" s="16"/>
    </row>
    <row r="10" spans="1:9" ht="21.75">
      <c r="A10" s="17"/>
      <c r="B10" s="18" t="s">
        <v>227</v>
      </c>
      <c r="C10" s="19"/>
      <c r="D10" s="28"/>
      <c r="E10" s="15">
        <v>500</v>
      </c>
      <c r="F10" s="14">
        <f t="shared" si="0"/>
        <v>209060</v>
      </c>
      <c r="G10" s="16"/>
    </row>
    <row r="11" spans="1:9" ht="21.75">
      <c r="A11" s="17"/>
      <c r="B11" s="18" t="s">
        <v>228</v>
      </c>
      <c r="C11" s="19"/>
      <c r="D11" s="28"/>
      <c r="E11" s="15">
        <v>162000</v>
      </c>
      <c r="F11" s="14">
        <f t="shared" si="0"/>
        <v>47060</v>
      </c>
      <c r="G11" s="16"/>
    </row>
    <row r="12" spans="1:9" ht="21.75">
      <c r="A12" s="17"/>
      <c r="B12" s="18" t="s">
        <v>229</v>
      </c>
      <c r="C12" s="19"/>
      <c r="D12" s="28"/>
      <c r="E12" s="15">
        <v>300</v>
      </c>
      <c r="F12" s="14">
        <f t="shared" si="0"/>
        <v>46760</v>
      </c>
      <c r="G12" s="16"/>
      <c r="I12" s="31">
        <f>SUM(E18)</f>
        <v>0</v>
      </c>
    </row>
    <row r="13" spans="1:9" ht="21.75">
      <c r="A13" s="17"/>
      <c r="B13" s="18" t="s">
        <v>230</v>
      </c>
      <c r="C13" s="19"/>
      <c r="D13" s="28"/>
      <c r="E13" s="15">
        <v>1200</v>
      </c>
      <c r="F13" s="14">
        <f t="shared" si="0"/>
        <v>45560</v>
      </c>
      <c r="G13" s="16"/>
    </row>
    <row r="14" spans="1:9" ht="21.75">
      <c r="A14" s="17"/>
      <c r="B14" s="18" t="s">
        <v>231</v>
      </c>
      <c r="C14" s="19"/>
      <c r="D14" s="28"/>
      <c r="E14" s="15">
        <v>300</v>
      </c>
      <c r="F14" s="14">
        <f t="shared" si="0"/>
        <v>45260</v>
      </c>
      <c r="G14" s="16"/>
    </row>
    <row r="15" spans="1:9" ht="21.75">
      <c r="A15" s="17"/>
      <c r="B15" s="18" t="s">
        <v>232</v>
      </c>
      <c r="C15" s="19"/>
      <c r="D15" s="28"/>
      <c r="E15" s="15">
        <v>300</v>
      </c>
      <c r="F15" s="14">
        <f t="shared" si="0"/>
        <v>44960</v>
      </c>
      <c r="G15" s="16">
        <f>SUM(E9:E16)</f>
        <v>165100</v>
      </c>
    </row>
    <row r="16" spans="1:9" ht="21.75">
      <c r="A16" s="17"/>
      <c r="B16" s="18"/>
      <c r="C16" s="19"/>
      <c r="D16" s="28"/>
      <c r="E16" s="15"/>
      <c r="F16" s="14">
        <f t="shared" si="0"/>
        <v>44960</v>
      </c>
      <c r="G16" s="16"/>
    </row>
    <row r="17" spans="1:7" ht="21.75">
      <c r="A17" s="10">
        <v>45262</v>
      </c>
      <c r="B17" s="11" t="s">
        <v>7</v>
      </c>
      <c r="C17" s="12">
        <v>60000</v>
      </c>
      <c r="D17" s="27"/>
      <c r="E17" s="15"/>
      <c r="F17" s="14">
        <f t="shared" si="0"/>
        <v>104960</v>
      </c>
      <c r="G17" s="16"/>
    </row>
    <row r="18" spans="1:7" ht="21.75">
      <c r="A18" s="17"/>
      <c r="B18" s="18"/>
      <c r="C18" s="19"/>
      <c r="D18" s="28"/>
      <c r="E18" s="15"/>
      <c r="F18" s="14">
        <f t="shared" si="0"/>
        <v>104960</v>
      </c>
      <c r="G18" s="16"/>
    </row>
    <row r="19" spans="1:7" ht="21.75">
      <c r="A19" s="17"/>
      <c r="B19" s="18"/>
      <c r="C19" s="19"/>
      <c r="D19" s="28"/>
      <c r="E19" s="15"/>
      <c r="F19" s="14">
        <f t="shared" si="0"/>
        <v>104960</v>
      </c>
      <c r="G19" s="16"/>
    </row>
    <row r="20" spans="1:7" ht="21.75">
      <c r="A20" s="17"/>
      <c r="B20" s="18"/>
      <c r="C20" s="19"/>
      <c r="D20" s="28"/>
      <c r="E20" s="15"/>
      <c r="F20" s="14">
        <f t="shared" si="0"/>
        <v>104960</v>
      </c>
      <c r="G20" s="16"/>
    </row>
    <row r="21" spans="1:7" ht="21.75">
      <c r="A21" s="17"/>
      <c r="B21" s="18"/>
      <c r="C21" s="19"/>
      <c r="D21" s="28"/>
      <c r="E21" s="15"/>
      <c r="F21" s="14">
        <f t="shared" si="0"/>
        <v>104960</v>
      </c>
      <c r="G21" s="16"/>
    </row>
    <row r="22" spans="1:7" ht="21.75">
      <c r="A22" s="17"/>
      <c r="B22" s="18"/>
      <c r="C22" s="19"/>
      <c r="D22" s="28"/>
      <c r="E22" s="15"/>
      <c r="F22" s="14">
        <f t="shared" si="0"/>
        <v>104960</v>
      </c>
      <c r="G22" s="16"/>
    </row>
    <row r="23" spans="1:7" ht="21.75">
      <c r="A23" s="17"/>
      <c r="B23" s="18"/>
      <c r="C23" s="19"/>
      <c r="D23" s="28"/>
      <c r="E23" s="15"/>
      <c r="F23" s="14">
        <f t="shared" si="0"/>
        <v>104960</v>
      </c>
      <c r="G23" s="16"/>
    </row>
    <row r="24" spans="1:7" ht="21.75">
      <c r="A24" s="17"/>
      <c r="B24" s="18"/>
      <c r="C24" s="19"/>
      <c r="D24" s="28"/>
      <c r="E24" s="15"/>
      <c r="F24" s="14">
        <f t="shared" si="0"/>
        <v>104960</v>
      </c>
      <c r="G24" s="16"/>
    </row>
    <row r="25" spans="1:7" ht="21.75">
      <c r="A25" s="17"/>
      <c r="B25" s="18"/>
      <c r="C25" s="19"/>
      <c r="D25" s="28"/>
      <c r="E25" s="15"/>
      <c r="F25" s="14">
        <f t="shared" si="0"/>
        <v>104960</v>
      </c>
      <c r="G25" s="16">
        <f>SUM(E18:E25)</f>
        <v>0</v>
      </c>
    </row>
    <row r="26" spans="1:7" ht="21.75">
      <c r="A26" s="10">
        <v>45263</v>
      </c>
      <c r="B26" s="11" t="s">
        <v>7</v>
      </c>
      <c r="C26" s="12"/>
      <c r="D26" s="27"/>
      <c r="E26" s="15"/>
      <c r="F26" s="14">
        <f t="shared" si="0"/>
        <v>104960</v>
      </c>
      <c r="G26" s="16"/>
    </row>
    <row r="27" spans="1:7" ht="21.75">
      <c r="A27" s="17"/>
      <c r="B27" s="18" t="s">
        <v>46</v>
      </c>
      <c r="C27" s="19"/>
      <c r="D27" s="28"/>
      <c r="E27" s="15"/>
      <c r="F27" s="14">
        <f t="shared" si="0"/>
        <v>104960</v>
      </c>
      <c r="G27" s="16"/>
    </row>
    <row r="28" spans="1:7" ht="21.75">
      <c r="A28" s="17"/>
      <c r="B28" s="18" t="s">
        <v>23</v>
      </c>
      <c r="C28" s="19"/>
      <c r="D28" s="28"/>
      <c r="E28" s="15"/>
      <c r="F28" s="14">
        <f t="shared" si="0"/>
        <v>104960</v>
      </c>
      <c r="G28" s="16"/>
    </row>
    <row r="29" spans="1:7" ht="21.75">
      <c r="A29" s="17"/>
      <c r="B29" s="18" t="s">
        <v>24</v>
      </c>
      <c r="C29" s="19"/>
      <c r="D29" s="28"/>
      <c r="E29" s="15"/>
      <c r="F29" s="14">
        <f t="shared" si="0"/>
        <v>104960</v>
      </c>
      <c r="G29" s="16"/>
    </row>
    <row r="30" spans="1:7" ht="21.75">
      <c r="A30" s="17"/>
      <c r="B30" s="18" t="s">
        <v>25</v>
      </c>
      <c r="C30" s="19"/>
      <c r="D30" s="28"/>
      <c r="E30" s="15"/>
      <c r="F30" s="14">
        <f t="shared" si="0"/>
        <v>104960</v>
      </c>
      <c r="G30" s="16"/>
    </row>
    <row r="31" spans="1:7" ht="21.75">
      <c r="A31" s="17"/>
      <c r="B31" s="18" t="s">
        <v>26</v>
      </c>
      <c r="C31" s="19"/>
      <c r="D31" s="28"/>
      <c r="E31" s="15"/>
      <c r="F31" s="14">
        <f t="shared" si="0"/>
        <v>104960</v>
      </c>
      <c r="G31" s="16"/>
    </row>
    <row r="32" spans="1:7" ht="21.75">
      <c r="A32" s="17"/>
      <c r="B32" s="18" t="s">
        <v>27</v>
      </c>
      <c r="C32" s="19"/>
      <c r="D32" s="28"/>
      <c r="E32" s="15"/>
      <c r="F32" s="14">
        <f t="shared" si="0"/>
        <v>104960</v>
      </c>
      <c r="G32" s="16"/>
    </row>
    <row r="33" spans="1:7" ht="21.75">
      <c r="A33" s="17"/>
      <c r="B33" s="18" t="s">
        <v>28</v>
      </c>
      <c r="C33" s="19"/>
      <c r="D33" s="28"/>
      <c r="E33" s="15"/>
      <c r="F33" s="14">
        <f t="shared" si="0"/>
        <v>104960</v>
      </c>
      <c r="G33" s="16">
        <f>SUM(E27:E33)</f>
        <v>0</v>
      </c>
    </row>
    <row r="34" spans="1:7" ht="21.75">
      <c r="A34" s="10">
        <v>45264</v>
      </c>
      <c r="B34" s="11" t="s">
        <v>7</v>
      </c>
      <c r="C34" s="12"/>
      <c r="D34" s="28"/>
      <c r="E34" s="15"/>
      <c r="F34" s="14">
        <f t="shared" si="0"/>
        <v>104960</v>
      </c>
      <c r="G34" s="16"/>
    </row>
    <row r="35" spans="1:7" ht="21.75">
      <c r="A35" s="17"/>
      <c r="B35" s="18" t="s">
        <v>29</v>
      </c>
      <c r="C35" s="19"/>
      <c r="D35" s="28"/>
      <c r="E35" s="15"/>
      <c r="F35" s="14">
        <f t="shared" si="0"/>
        <v>104960</v>
      </c>
      <c r="G35" s="16"/>
    </row>
    <row r="36" spans="1:7" ht="21.75">
      <c r="A36" s="10"/>
      <c r="B36" s="18" t="s">
        <v>30</v>
      </c>
      <c r="C36" s="19"/>
      <c r="D36" s="28"/>
      <c r="E36" s="15"/>
      <c r="F36" s="14">
        <f t="shared" si="0"/>
        <v>104960</v>
      </c>
      <c r="G36" s="16"/>
    </row>
    <row r="37" spans="1:7" ht="21.75">
      <c r="A37" s="17"/>
      <c r="B37" s="18" t="s">
        <v>31</v>
      </c>
      <c r="C37" s="19"/>
      <c r="D37" s="28"/>
      <c r="E37" s="15"/>
      <c r="F37" s="14">
        <f t="shared" si="0"/>
        <v>104960</v>
      </c>
      <c r="G37" s="16">
        <f>SUM(E35:E37)</f>
        <v>0</v>
      </c>
    </row>
    <row r="38" spans="1:7" ht="21.75">
      <c r="A38" s="17">
        <v>45265</v>
      </c>
      <c r="B38" s="11" t="s">
        <v>7</v>
      </c>
      <c r="C38" s="12"/>
      <c r="D38" s="28"/>
      <c r="E38" s="15"/>
      <c r="F38" s="14">
        <f t="shared" si="0"/>
        <v>104960</v>
      </c>
      <c r="G38" s="16"/>
    </row>
    <row r="39" spans="1:7" ht="21.75">
      <c r="A39" s="17"/>
      <c r="B39" s="18" t="s">
        <v>32</v>
      </c>
      <c r="C39" s="19"/>
      <c r="D39" s="28"/>
      <c r="E39" s="15"/>
      <c r="F39" s="14">
        <f t="shared" si="0"/>
        <v>104960</v>
      </c>
      <c r="G39" s="16"/>
    </row>
    <row r="40" spans="1:7" ht="21.75">
      <c r="A40" s="17"/>
      <c r="B40" s="18" t="s">
        <v>33</v>
      </c>
      <c r="C40" s="19"/>
      <c r="D40" s="28"/>
      <c r="E40" s="15"/>
      <c r="F40" s="14">
        <f t="shared" si="0"/>
        <v>104960</v>
      </c>
      <c r="G40" s="16"/>
    </row>
    <row r="41" spans="1:7" ht="21.75">
      <c r="A41" s="17"/>
      <c r="B41" s="18" t="s">
        <v>34</v>
      </c>
      <c r="C41" s="19"/>
      <c r="D41" s="28"/>
      <c r="E41" s="15"/>
      <c r="F41" s="14">
        <f t="shared" si="0"/>
        <v>104960</v>
      </c>
      <c r="G41" s="16"/>
    </row>
    <row r="42" spans="1:7" ht="21.75">
      <c r="A42" s="17"/>
      <c r="B42" s="18" t="s">
        <v>10</v>
      </c>
      <c r="C42" s="19"/>
      <c r="D42" s="28"/>
      <c r="E42" s="15"/>
      <c r="F42" s="14">
        <f t="shared" si="0"/>
        <v>104960</v>
      </c>
      <c r="G42" s="16"/>
    </row>
    <row r="43" spans="1:7" ht="21.75">
      <c r="A43" s="17"/>
      <c r="B43" s="18" t="s">
        <v>35</v>
      </c>
      <c r="C43" s="19"/>
      <c r="D43" s="28"/>
      <c r="E43" s="15"/>
      <c r="F43" s="14">
        <f t="shared" si="0"/>
        <v>104960</v>
      </c>
      <c r="G43" s="16"/>
    </row>
    <row r="44" spans="1:7" ht="21.75">
      <c r="A44" s="17"/>
      <c r="B44" s="18" t="s">
        <v>36</v>
      </c>
      <c r="C44" s="19"/>
      <c r="D44" s="28"/>
      <c r="E44" s="15"/>
      <c r="F44" s="14">
        <f t="shared" si="0"/>
        <v>104960</v>
      </c>
      <c r="G44" s="16"/>
    </row>
    <row r="45" spans="1:7" ht="21.75">
      <c r="A45" s="17"/>
      <c r="B45" s="18" t="s">
        <v>37</v>
      </c>
      <c r="C45" s="19"/>
      <c r="D45" s="28"/>
      <c r="E45" s="15"/>
      <c r="F45" s="14">
        <f t="shared" si="0"/>
        <v>104960</v>
      </c>
      <c r="G45" s="16"/>
    </row>
    <row r="46" spans="1:7" ht="21.75">
      <c r="A46" s="17"/>
      <c r="B46" s="18" t="s">
        <v>38</v>
      </c>
      <c r="C46" s="19"/>
      <c r="D46" s="28"/>
      <c r="E46" s="15"/>
      <c r="F46" s="14">
        <f t="shared" si="0"/>
        <v>104960</v>
      </c>
      <c r="G46" s="16">
        <f>SUM(E39:E46)</f>
        <v>0</v>
      </c>
    </row>
    <row r="47" spans="1:7" ht="21.75">
      <c r="A47" s="17">
        <v>45266</v>
      </c>
      <c r="B47" s="11" t="s">
        <v>7</v>
      </c>
      <c r="C47" s="12"/>
      <c r="D47" s="28"/>
      <c r="E47" s="15"/>
      <c r="F47" s="14">
        <f t="shared" si="0"/>
        <v>104960</v>
      </c>
      <c r="G47" s="16"/>
    </row>
    <row r="48" spans="1:7" ht="21.75">
      <c r="A48" s="17"/>
      <c r="B48" s="18" t="s">
        <v>39</v>
      </c>
      <c r="C48" s="19"/>
      <c r="D48" s="28"/>
      <c r="E48" s="21"/>
      <c r="F48" s="14">
        <f t="shared" si="0"/>
        <v>104960</v>
      </c>
      <c r="G48" s="16"/>
    </row>
    <row r="49" spans="1:7" ht="21.75">
      <c r="A49" s="17"/>
      <c r="B49" s="18" t="s">
        <v>40</v>
      </c>
      <c r="C49" s="19"/>
      <c r="D49" s="28"/>
      <c r="E49" s="15"/>
      <c r="F49" s="14">
        <f t="shared" si="0"/>
        <v>104960</v>
      </c>
      <c r="G49" s="16"/>
    </row>
    <row r="50" spans="1:7" ht="21.75">
      <c r="A50" s="17"/>
      <c r="B50" s="18" t="s">
        <v>41</v>
      </c>
      <c r="C50" s="19"/>
      <c r="D50" s="28"/>
      <c r="E50" s="15"/>
      <c r="F50" s="14">
        <f t="shared" si="0"/>
        <v>104960</v>
      </c>
      <c r="G50" s="16"/>
    </row>
    <row r="51" spans="1:7" ht="21.75">
      <c r="A51" s="17"/>
      <c r="B51" s="18" t="s">
        <v>42</v>
      </c>
      <c r="C51" s="19"/>
      <c r="D51" s="28"/>
      <c r="E51" s="15"/>
      <c r="F51" s="14">
        <f t="shared" si="0"/>
        <v>104960</v>
      </c>
      <c r="G51" s="16"/>
    </row>
    <row r="52" spans="1:7" ht="21.75">
      <c r="A52" s="17"/>
      <c r="B52" s="18" t="s">
        <v>43</v>
      </c>
      <c r="C52" s="19"/>
      <c r="D52" s="28"/>
      <c r="E52" s="15"/>
      <c r="F52" s="14">
        <f t="shared" si="0"/>
        <v>104960</v>
      </c>
      <c r="G52" s="16"/>
    </row>
    <row r="53" spans="1:7" ht="21.75">
      <c r="A53" s="17"/>
      <c r="B53" s="18" t="s">
        <v>44</v>
      </c>
      <c r="C53" s="19"/>
      <c r="D53" s="28"/>
      <c r="E53" s="15"/>
      <c r="F53" s="14">
        <f t="shared" si="0"/>
        <v>104960</v>
      </c>
      <c r="G53" s="16"/>
    </row>
    <row r="54" spans="1:7" ht="21.75">
      <c r="A54" s="17"/>
      <c r="B54" s="18" t="s">
        <v>45</v>
      </c>
      <c r="C54" s="19"/>
      <c r="D54" s="28"/>
      <c r="E54" s="15"/>
      <c r="F54" s="14">
        <f t="shared" si="0"/>
        <v>104960</v>
      </c>
      <c r="G54" s="16"/>
    </row>
    <row r="55" spans="1:7" ht="21.75">
      <c r="A55" s="17"/>
      <c r="B55" s="18" t="s">
        <v>47</v>
      </c>
      <c r="C55" s="19"/>
      <c r="D55" s="28"/>
      <c r="E55" s="15"/>
      <c r="F55" s="14">
        <f t="shared" si="0"/>
        <v>104960</v>
      </c>
      <c r="G55" s="16">
        <f>SUM(E48:E55)</f>
        <v>0</v>
      </c>
    </row>
    <row r="56" spans="1:7" ht="21.75">
      <c r="A56" s="17"/>
      <c r="B56" s="18" t="s">
        <v>48</v>
      </c>
      <c r="C56" s="19"/>
      <c r="D56" s="28"/>
      <c r="E56" s="15"/>
      <c r="F56" s="14">
        <f t="shared" si="0"/>
        <v>104960</v>
      </c>
      <c r="G56" s="16"/>
    </row>
    <row r="57" spans="1:7" ht="21.75">
      <c r="A57" s="17">
        <v>45267</v>
      </c>
      <c r="B57" s="11" t="s">
        <v>7</v>
      </c>
      <c r="C57" s="12"/>
      <c r="D57" s="28"/>
      <c r="E57" s="15"/>
      <c r="F57" s="14">
        <f t="shared" si="0"/>
        <v>104960</v>
      </c>
      <c r="G57" s="16"/>
    </row>
    <row r="58" spans="1:7" ht="21.75">
      <c r="A58" s="17"/>
      <c r="B58" s="18" t="s">
        <v>49</v>
      </c>
      <c r="C58" s="19"/>
      <c r="D58" s="28"/>
      <c r="E58" s="15"/>
      <c r="F58" s="14">
        <f t="shared" si="0"/>
        <v>104960</v>
      </c>
      <c r="G58" s="16"/>
    </row>
    <row r="59" spans="1:7" ht="21.75">
      <c r="A59" s="17"/>
      <c r="B59" s="18" t="s">
        <v>48</v>
      </c>
      <c r="C59" s="19"/>
      <c r="D59" s="28"/>
      <c r="E59" s="15"/>
      <c r="F59" s="14">
        <f t="shared" si="0"/>
        <v>104960</v>
      </c>
      <c r="G59" s="16"/>
    </row>
    <row r="60" spans="1:7" ht="21.75">
      <c r="A60" s="17"/>
      <c r="B60" s="18" t="s">
        <v>50</v>
      </c>
      <c r="C60" s="19"/>
      <c r="D60" s="28"/>
      <c r="E60" s="15"/>
      <c r="F60" s="14">
        <f t="shared" si="0"/>
        <v>104960</v>
      </c>
      <c r="G60" s="16"/>
    </row>
    <row r="61" spans="1:7" ht="21.75">
      <c r="A61" s="17"/>
      <c r="B61" s="18" t="s">
        <v>51</v>
      </c>
      <c r="C61" s="19"/>
      <c r="D61" s="28"/>
      <c r="E61" s="15"/>
      <c r="F61" s="14">
        <f t="shared" si="0"/>
        <v>104960</v>
      </c>
      <c r="G61" s="16"/>
    </row>
    <row r="62" spans="1:7" ht="21.75">
      <c r="A62" s="17"/>
      <c r="B62" s="18" t="s">
        <v>52</v>
      </c>
      <c r="C62" s="19"/>
      <c r="D62" s="28"/>
      <c r="E62" s="15"/>
      <c r="F62" s="14">
        <f t="shared" si="0"/>
        <v>104960</v>
      </c>
      <c r="G62" s="16"/>
    </row>
    <row r="63" spans="1:7" ht="21.75">
      <c r="A63" s="17"/>
      <c r="B63" s="18" t="s">
        <v>53</v>
      </c>
      <c r="C63" s="19"/>
      <c r="D63" s="28"/>
      <c r="E63" s="15"/>
      <c r="F63" s="14">
        <f t="shared" si="0"/>
        <v>104960</v>
      </c>
      <c r="G63" s="16"/>
    </row>
    <row r="64" spans="1:7" ht="21.75">
      <c r="A64" s="17"/>
      <c r="B64" s="18" t="s">
        <v>54</v>
      </c>
      <c r="C64" s="19"/>
      <c r="D64" s="28"/>
      <c r="E64" s="15"/>
      <c r="F64" s="14">
        <f t="shared" si="0"/>
        <v>104960</v>
      </c>
      <c r="G64" s="16">
        <f>SUM(E58:E64)</f>
        <v>0</v>
      </c>
    </row>
    <row r="65" spans="1:7" ht="21.75">
      <c r="A65" s="17">
        <v>45268</v>
      </c>
      <c r="B65" s="11" t="s">
        <v>7</v>
      </c>
      <c r="C65" s="12"/>
      <c r="D65" s="28"/>
      <c r="E65" s="15"/>
      <c r="F65" s="14">
        <f t="shared" si="0"/>
        <v>104960</v>
      </c>
      <c r="G65" s="16"/>
    </row>
    <row r="66" spans="1:7" ht="21.75">
      <c r="A66" s="17"/>
      <c r="B66" s="18" t="s">
        <v>55</v>
      </c>
      <c r="C66" s="12"/>
      <c r="D66" s="28"/>
      <c r="E66" s="15"/>
      <c r="F66" s="14">
        <f>+F65+C66-D66-E66</f>
        <v>104960</v>
      </c>
      <c r="G66" s="16"/>
    </row>
    <row r="67" spans="1:7" ht="21.75">
      <c r="A67" s="17"/>
      <c r="B67" s="18" t="s">
        <v>56</v>
      </c>
      <c r="C67" s="19"/>
      <c r="D67" s="28"/>
      <c r="E67" s="15"/>
      <c r="F67" s="14">
        <f t="shared" si="0"/>
        <v>104960</v>
      </c>
      <c r="G67" s="16"/>
    </row>
    <row r="68" spans="1:7" ht="21.75">
      <c r="A68" s="17"/>
      <c r="B68" s="18" t="s">
        <v>57</v>
      </c>
      <c r="C68" s="19"/>
      <c r="D68" s="28"/>
      <c r="E68" s="15"/>
      <c r="F68" s="14">
        <f t="shared" si="0"/>
        <v>104960</v>
      </c>
      <c r="G68" s="16"/>
    </row>
    <row r="69" spans="1:7" ht="21.75">
      <c r="A69" s="17"/>
      <c r="B69" s="18" t="s">
        <v>58</v>
      </c>
      <c r="C69" s="19"/>
      <c r="D69" s="28"/>
      <c r="E69" s="15"/>
      <c r="F69" s="14">
        <f t="shared" si="0"/>
        <v>104960</v>
      </c>
      <c r="G69" s="16"/>
    </row>
    <row r="70" spans="1:7" ht="21.75">
      <c r="A70" s="17"/>
      <c r="B70" s="18" t="s">
        <v>59</v>
      </c>
      <c r="C70" s="19"/>
      <c r="D70" s="28"/>
      <c r="E70" s="15"/>
      <c r="F70" s="14">
        <f t="shared" ref="F70:F133" si="1">+F69+C70-D70-E70</f>
        <v>104960</v>
      </c>
      <c r="G70" s="16"/>
    </row>
    <row r="71" spans="1:7" ht="21.75">
      <c r="A71" s="17"/>
      <c r="B71" s="18" t="s">
        <v>60</v>
      </c>
      <c r="C71" s="19"/>
      <c r="D71" s="28"/>
      <c r="E71" s="15"/>
      <c r="F71" s="14">
        <f t="shared" si="1"/>
        <v>104960</v>
      </c>
      <c r="G71" s="16">
        <f>SUM(E66:E71)</f>
        <v>0</v>
      </c>
    </row>
    <row r="72" spans="1:7" ht="21.75">
      <c r="A72" s="17">
        <v>45269</v>
      </c>
      <c r="B72" s="11" t="s">
        <v>7</v>
      </c>
      <c r="C72" s="12"/>
      <c r="D72" s="28"/>
      <c r="E72" s="15"/>
      <c r="F72" s="14">
        <f t="shared" si="1"/>
        <v>104960</v>
      </c>
      <c r="G72" s="16"/>
    </row>
    <row r="73" spans="1:7" ht="21.75">
      <c r="A73" s="17"/>
      <c r="B73" s="18" t="s">
        <v>61</v>
      </c>
      <c r="C73" s="12"/>
      <c r="D73" s="28"/>
      <c r="E73" s="15"/>
      <c r="F73" s="14">
        <f t="shared" si="1"/>
        <v>104960</v>
      </c>
      <c r="G73" s="16"/>
    </row>
    <row r="74" spans="1:7" ht="21.75">
      <c r="A74" s="17"/>
      <c r="B74" s="18" t="s">
        <v>62</v>
      </c>
      <c r="C74" s="12"/>
      <c r="D74" s="28"/>
      <c r="E74" s="15"/>
      <c r="F74" s="14">
        <f t="shared" si="1"/>
        <v>104960</v>
      </c>
      <c r="G74" s="16"/>
    </row>
    <row r="75" spans="1:7" ht="21.75">
      <c r="A75" s="17"/>
      <c r="B75" s="18" t="s">
        <v>63</v>
      </c>
      <c r="C75" s="12"/>
      <c r="D75" s="28"/>
      <c r="E75" s="15"/>
      <c r="F75" s="14">
        <f t="shared" si="1"/>
        <v>104960</v>
      </c>
      <c r="G75" s="16"/>
    </row>
    <row r="76" spans="1:7" ht="21.75">
      <c r="A76" s="17"/>
      <c r="B76" s="18" t="s">
        <v>64</v>
      </c>
      <c r="C76" s="12"/>
      <c r="D76" s="28"/>
      <c r="E76" s="15"/>
      <c r="F76" s="14">
        <f t="shared" si="1"/>
        <v>104960</v>
      </c>
      <c r="G76" s="16"/>
    </row>
    <row r="77" spans="1:7" ht="21.75">
      <c r="A77" s="17"/>
      <c r="B77" s="18" t="s">
        <v>65</v>
      </c>
      <c r="C77" s="12"/>
      <c r="D77" s="28"/>
      <c r="E77" s="15"/>
      <c r="F77" s="14">
        <f t="shared" si="1"/>
        <v>104960</v>
      </c>
      <c r="G77" s="16"/>
    </row>
    <row r="78" spans="1:7" ht="21.75">
      <c r="A78" s="17"/>
      <c r="B78" s="18" t="s">
        <v>66</v>
      </c>
      <c r="C78" s="12"/>
      <c r="D78" s="28"/>
      <c r="E78" s="15"/>
      <c r="F78" s="14">
        <f t="shared" si="1"/>
        <v>104960</v>
      </c>
      <c r="G78" s="16"/>
    </row>
    <row r="79" spans="1:7" ht="21.75">
      <c r="A79" s="17"/>
      <c r="B79" s="18" t="s">
        <v>67</v>
      </c>
      <c r="C79" s="12"/>
      <c r="D79" s="28"/>
      <c r="E79" s="15"/>
      <c r="F79" s="14">
        <f t="shared" si="1"/>
        <v>104960</v>
      </c>
      <c r="G79" s="16"/>
    </row>
    <row r="80" spans="1:7" ht="21.75">
      <c r="A80" s="17"/>
      <c r="B80" s="18" t="s">
        <v>68</v>
      </c>
      <c r="C80" s="12"/>
      <c r="D80" s="28"/>
      <c r="E80" s="15"/>
      <c r="F80" s="14">
        <f t="shared" si="1"/>
        <v>104960</v>
      </c>
      <c r="G80" s="16"/>
    </row>
    <row r="81" spans="1:7" ht="21.75">
      <c r="A81" s="17"/>
      <c r="B81" s="18" t="s">
        <v>69</v>
      </c>
      <c r="C81" s="19"/>
      <c r="D81" s="28"/>
      <c r="E81" s="15"/>
      <c r="F81" s="14">
        <f t="shared" si="1"/>
        <v>104960</v>
      </c>
      <c r="G81" s="16">
        <f>SUM(E73:E81)</f>
        <v>0</v>
      </c>
    </row>
    <row r="82" spans="1:7" ht="21.75">
      <c r="A82" s="17">
        <v>45270</v>
      </c>
      <c r="B82" s="11" t="s">
        <v>7</v>
      </c>
      <c r="C82" s="12"/>
      <c r="D82" s="28"/>
      <c r="E82" s="15"/>
      <c r="F82" s="14">
        <f t="shared" si="1"/>
        <v>104960</v>
      </c>
      <c r="G82" s="16"/>
    </row>
    <row r="83" spans="1:7" ht="21.75">
      <c r="A83" s="17"/>
      <c r="B83" s="18"/>
      <c r="C83" s="19"/>
      <c r="D83" s="28"/>
      <c r="E83" s="15"/>
      <c r="F83" s="14">
        <f t="shared" si="1"/>
        <v>104960</v>
      </c>
      <c r="G83" s="16"/>
    </row>
    <row r="84" spans="1:7" ht="21.75">
      <c r="A84" s="17"/>
      <c r="B84" s="18" t="s">
        <v>70</v>
      </c>
      <c r="C84" s="19"/>
      <c r="D84" s="28"/>
      <c r="E84" s="15"/>
      <c r="F84" s="14">
        <f t="shared" si="1"/>
        <v>104960</v>
      </c>
      <c r="G84" s="16"/>
    </row>
    <row r="85" spans="1:7" ht="21.75">
      <c r="A85" s="17"/>
      <c r="B85" s="18" t="s">
        <v>71</v>
      </c>
      <c r="C85" s="19"/>
      <c r="D85" s="28"/>
      <c r="E85" s="15"/>
      <c r="F85" s="14">
        <f t="shared" si="1"/>
        <v>104960</v>
      </c>
      <c r="G85" s="16"/>
    </row>
    <row r="86" spans="1:7" ht="21.75">
      <c r="A86" s="17"/>
      <c r="B86" s="18" t="s">
        <v>72</v>
      </c>
      <c r="C86" s="19"/>
      <c r="D86" s="28"/>
      <c r="E86" s="15"/>
      <c r="F86" s="14">
        <f t="shared" si="1"/>
        <v>104960</v>
      </c>
      <c r="G86" s="16"/>
    </row>
    <row r="87" spans="1:7" ht="21.75">
      <c r="A87" s="17"/>
      <c r="B87" s="18" t="s">
        <v>73</v>
      </c>
      <c r="C87" s="19"/>
      <c r="D87" s="28"/>
      <c r="E87" s="15"/>
      <c r="F87" s="14">
        <f t="shared" si="1"/>
        <v>104960</v>
      </c>
      <c r="G87" s="16"/>
    </row>
    <row r="88" spans="1:7" ht="21.75">
      <c r="A88" s="17"/>
      <c r="B88" s="18" t="s">
        <v>74</v>
      </c>
      <c r="C88" s="19"/>
      <c r="D88" s="28"/>
      <c r="E88" s="15"/>
      <c r="F88" s="14">
        <f t="shared" si="1"/>
        <v>104960</v>
      </c>
      <c r="G88" s="16">
        <f>SUM(E83:E88)</f>
        <v>0</v>
      </c>
    </row>
    <row r="89" spans="1:7" ht="21.75">
      <c r="A89" s="17">
        <v>45271</v>
      </c>
      <c r="B89" s="11" t="s">
        <v>7</v>
      </c>
      <c r="C89" s="12"/>
      <c r="D89" s="28"/>
      <c r="E89" s="15"/>
      <c r="F89" s="14">
        <f t="shared" si="1"/>
        <v>104960</v>
      </c>
      <c r="G89" s="16"/>
    </row>
    <row r="90" spans="1:7" ht="21.75">
      <c r="A90" s="17"/>
      <c r="B90" s="18" t="s">
        <v>75</v>
      </c>
      <c r="C90" s="19"/>
      <c r="D90" s="28"/>
      <c r="E90" s="15"/>
      <c r="F90" s="14">
        <f t="shared" si="1"/>
        <v>104960</v>
      </c>
      <c r="G90" s="16"/>
    </row>
    <row r="91" spans="1:7" ht="21.75">
      <c r="A91" s="17"/>
      <c r="B91" s="18" t="s">
        <v>76</v>
      </c>
      <c r="C91" s="19"/>
      <c r="D91" s="28"/>
      <c r="E91" s="15"/>
      <c r="F91" s="14">
        <f t="shared" si="1"/>
        <v>104960</v>
      </c>
      <c r="G91" s="16"/>
    </row>
    <row r="92" spans="1:7" ht="21.75">
      <c r="A92" s="17"/>
      <c r="B92" s="18" t="s">
        <v>77</v>
      </c>
      <c r="C92" s="19"/>
      <c r="D92" s="28"/>
      <c r="E92" s="15"/>
      <c r="F92" s="14">
        <f t="shared" si="1"/>
        <v>104960</v>
      </c>
      <c r="G92" s="16"/>
    </row>
    <row r="93" spans="1:7" ht="21.75">
      <c r="A93" s="17"/>
      <c r="B93" s="18" t="s">
        <v>78</v>
      </c>
      <c r="C93" s="19"/>
      <c r="D93" s="28"/>
      <c r="E93" s="15"/>
      <c r="F93" s="14">
        <f t="shared" si="1"/>
        <v>104960</v>
      </c>
      <c r="G93" s="16"/>
    </row>
    <row r="94" spans="1:7" ht="21.75">
      <c r="A94" s="17"/>
      <c r="B94" s="18" t="s">
        <v>79</v>
      </c>
      <c r="C94" s="19"/>
      <c r="D94" s="28"/>
      <c r="E94" s="15"/>
      <c r="F94" s="14">
        <f t="shared" si="1"/>
        <v>104960</v>
      </c>
      <c r="G94" s="16"/>
    </row>
    <row r="95" spans="1:7" ht="21.75">
      <c r="A95" s="17"/>
      <c r="B95" s="18" t="s">
        <v>80</v>
      </c>
      <c r="C95" s="19"/>
      <c r="D95" s="28"/>
      <c r="E95" s="15"/>
      <c r="F95" s="14">
        <f t="shared" si="1"/>
        <v>104960</v>
      </c>
      <c r="G95" s="16"/>
    </row>
    <row r="96" spans="1:7" ht="21.75">
      <c r="A96" s="17"/>
      <c r="B96" s="18" t="s">
        <v>81</v>
      </c>
      <c r="C96" s="19"/>
      <c r="D96" s="28"/>
      <c r="E96" s="15"/>
      <c r="F96" s="14">
        <f t="shared" si="1"/>
        <v>104960</v>
      </c>
      <c r="G96" s="16"/>
    </row>
    <row r="97" spans="1:7" ht="21.75">
      <c r="A97" s="17"/>
      <c r="B97" s="18" t="s">
        <v>82</v>
      </c>
      <c r="C97" s="19"/>
      <c r="D97" s="28"/>
      <c r="E97" s="15"/>
      <c r="F97" s="14">
        <f t="shared" si="1"/>
        <v>104960</v>
      </c>
      <c r="G97" s="16"/>
    </row>
    <row r="98" spans="1:7" ht="21.75">
      <c r="A98" s="17"/>
      <c r="B98" s="18" t="s">
        <v>17</v>
      </c>
      <c r="C98" s="19"/>
      <c r="D98" s="28"/>
      <c r="E98" s="15"/>
      <c r="F98" s="14">
        <f t="shared" si="1"/>
        <v>104960</v>
      </c>
      <c r="G98" s="16"/>
    </row>
    <row r="99" spans="1:7" ht="21.75">
      <c r="A99" s="17"/>
      <c r="B99" s="18" t="s">
        <v>83</v>
      </c>
      <c r="C99" s="19"/>
      <c r="D99" s="28"/>
      <c r="E99" s="15"/>
      <c r="F99" s="14">
        <f t="shared" si="1"/>
        <v>104960</v>
      </c>
      <c r="G99" s="16">
        <f>SUM(E90:E99)</f>
        <v>0</v>
      </c>
    </row>
    <row r="100" spans="1:7" ht="21.75">
      <c r="A100" s="17">
        <v>45272</v>
      </c>
      <c r="B100" s="11" t="s">
        <v>7</v>
      </c>
      <c r="C100" s="12"/>
      <c r="D100" s="28"/>
      <c r="E100" s="15"/>
      <c r="F100" s="14">
        <f t="shared" si="1"/>
        <v>104960</v>
      </c>
      <c r="G100" s="16"/>
    </row>
    <row r="101" spans="1:7" ht="21.75">
      <c r="A101" s="17"/>
      <c r="B101" s="18" t="s">
        <v>84</v>
      </c>
      <c r="C101" s="19"/>
      <c r="D101" s="28"/>
      <c r="E101" s="15"/>
      <c r="F101" s="14">
        <f t="shared" si="1"/>
        <v>104960</v>
      </c>
      <c r="G101" s="16"/>
    </row>
    <row r="102" spans="1:7" ht="21.75">
      <c r="A102" s="17"/>
      <c r="B102" s="18" t="s">
        <v>85</v>
      </c>
      <c r="C102" s="19"/>
      <c r="D102" s="28"/>
      <c r="E102" s="15"/>
      <c r="F102" s="14">
        <f t="shared" si="1"/>
        <v>104960</v>
      </c>
      <c r="G102" s="16"/>
    </row>
    <row r="103" spans="1:7" ht="21.75">
      <c r="A103" s="17"/>
      <c r="B103" s="18" t="s">
        <v>86</v>
      </c>
      <c r="C103" s="19"/>
      <c r="D103" s="28"/>
      <c r="E103" s="15"/>
      <c r="F103" s="14">
        <f t="shared" si="1"/>
        <v>104960</v>
      </c>
      <c r="G103" s="16"/>
    </row>
    <row r="104" spans="1:7" ht="21.75">
      <c r="A104" s="17"/>
      <c r="B104" s="18" t="s">
        <v>87</v>
      </c>
      <c r="C104" s="19"/>
      <c r="D104" s="28"/>
      <c r="E104" s="15"/>
      <c r="F104" s="14">
        <f t="shared" si="1"/>
        <v>104960</v>
      </c>
      <c r="G104" s="16"/>
    </row>
    <row r="105" spans="1:7" ht="21.75">
      <c r="A105" s="17"/>
      <c r="B105" s="18" t="s">
        <v>88</v>
      </c>
      <c r="C105" s="19"/>
      <c r="D105" s="28"/>
      <c r="E105" s="15"/>
      <c r="F105" s="14">
        <f t="shared" si="1"/>
        <v>104960</v>
      </c>
      <c r="G105" s="16"/>
    </row>
    <row r="106" spans="1:7" ht="21.75">
      <c r="A106" s="17"/>
      <c r="B106" s="18" t="s">
        <v>89</v>
      </c>
      <c r="C106" s="19"/>
      <c r="D106" s="28"/>
      <c r="E106" s="15"/>
      <c r="F106" s="14">
        <f t="shared" si="1"/>
        <v>104960</v>
      </c>
      <c r="G106" s="16"/>
    </row>
    <row r="107" spans="1:7" ht="21.75">
      <c r="A107" s="17"/>
      <c r="B107" s="18" t="s">
        <v>90</v>
      </c>
      <c r="C107" s="19"/>
      <c r="D107" s="28"/>
      <c r="E107" s="15"/>
      <c r="F107" s="14">
        <f t="shared" si="1"/>
        <v>104960</v>
      </c>
      <c r="G107" s="16">
        <f>SUM(E101:E107)</f>
        <v>0</v>
      </c>
    </row>
    <row r="108" spans="1:7" ht="21.75">
      <c r="A108" s="17">
        <v>45273</v>
      </c>
      <c r="B108" s="11" t="s">
        <v>7</v>
      </c>
      <c r="C108" s="12"/>
      <c r="D108" s="28"/>
      <c r="E108" s="15"/>
      <c r="F108" s="14">
        <f t="shared" si="1"/>
        <v>104960</v>
      </c>
      <c r="G108" s="16"/>
    </row>
    <row r="109" spans="1:7" ht="21.75">
      <c r="A109" s="17"/>
      <c r="B109" s="18" t="s">
        <v>103</v>
      </c>
      <c r="C109" s="19"/>
      <c r="D109" s="28"/>
      <c r="E109" s="15"/>
      <c r="F109" s="14">
        <f t="shared" si="1"/>
        <v>104960</v>
      </c>
      <c r="G109" s="16"/>
    </row>
    <row r="110" spans="1:7" ht="21.75">
      <c r="A110" s="17"/>
      <c r="B110" s="18" t="s">
        <v>91</v>
      </c>
      <c r="C110" s="19"/>
      <c r="D110" s="28"/>
      <c r="E110" s="15"/>
      <c r="F110" s="14">
        <f t="shared" si="1"/>
        <v>104960</v>
      </c>
      <c r="G110" s="16"/>
    </row>
    <row r="111" spans="1:7" ht="21.75">
      <c r="A111" s="17"/>
      <c r="B111" s="18" t="s">
        <v>92</v>
      </c>
      <c r="C111" s="19"/>
      <c r="D111" s="28"/>
      <c r="E111" s="15"/>
      <c r="F111" s="14">
        <f t="shared" si="1"/>
        <v>104960</v>
      </c>
      <c r="G111" s="16"/>
    </row>
    <row r="112" spans="1:7" ht="21.75">
      <c r="A112" s="17"/>
      <c r="B112" s="18" t="s">
        <v>93</v>
      </c>
      <c r="C112" s="19"/>
      <c r="D112" s="28"/>
      <c r="E112" s="15"/>
      <c r="F112" s="14">
        <f t="shared" si="1"/>
        <v>104960</v>
      </c>
      <c r="G112" s="16"/>
    </row>
    <row r="113" spans="1:7" ht="21.75">
      <c r="A113" s="17"/>
      <c r="B113" s="18" t="s">
        <v>101</v>
      </c>
      <c r="C113" s="19"/>
      <c r="D113" s="28"/>
      <c r="E113" s="15"/>
      <c r="F113" s="14">
        <f t="shared" si="1"/>
        <v>104960</v>
      </c>
      <c r="G113" s="16"/>
    </row>
    <row r="114" spans="1:7" ht="21.75">
      <c r="A114" s="17"/>
      <c r="B114" s="18" t="s">
        <v>102</v>
      </c>
      <c r="C114" s="19"/>
      <c r="D114" s="28"/>
      <c r="E114" s="15"/>
      <c r="F114" s="14">
        <f t="shared" si="1"/>
        <v>104960</v>
      </c>
      <c r="G114" s="16"/>
    </row>
    <row r="115" spans="1:7" ht="21.75">
      <c r="A115" s="17"/>
      <c r="B115" s="18" t="s">
        <v>104</v>
      </c>
      <c r="C115" s="19"/>
      <c r="D115" s="28"/>
      <c r="E115" s="15"/>
      <c r="F115" s="14">
        <f t="shared" si="1"/>
        <v>104960</v>
      </c>
      <c r="G115" s="16">
        <f>SUM(E109:E115)</f>
        <v>0</v>
      </c>
    </row>
    <row r="116" spans="1:7" ht="21.75">
      <c r="A116" s="17">
        <v>45274</v>
      </c>
      <c r="B116" s="11" t="s">
        <v>7</v>
      </c>
      <c r="C116" s="12"/>
      <c r="D116" s="28"/>
      <c r="E116" s="15"/>
      <c r="F116" s="14">
        <f t="shared" si="1"/>
        <v>104960</v>
      </c>
      <c r="G116" s="16"/>
    </row>
    <row r="117" spans="1:7" ht="21.75">
      <c r="A117" s="17"/>
      <c r="B117" s="18" t="s">
        <v>151</v>
      </c>
      <c r="C117" s="12"/>
      <c r="D117" s="28">
        <v>200000</v>
      </c>
      <c r="E117" s="15"/>
      <c r="F117" s="14">
        <f t="shared" si="1"/>
        <v>-95040</v>
      </c>
      <c r="G117" s="16"/>
    </row>
    <row r="118" spans="1:7" ht="21.75">
      <c r="A118" s="17"/>
      <c r="B118" s="18" t="s">
        <v>105</v>
      </c>
      <c r="C118" s="19"/>
      <c r="D118" s="28"/>
      <c r="E118" s="15"/>
      <c r="F118" s="14">
        <f t="shared" si="1"/>
        <v>-95040</v>
      </c>
      <c r="G118" s="16"/>
    </row>
    <row r="119" spans="1:7" ht="21.75">
      <c r="A119" s="17"/>
      <c r="B119" s="18" t="s">
        <v>106</v>
      </c>
      <c r="C119" s="19"/>
      <c r="D119" s="28"/>
      <c r="E119" s="15"/>
      <c r="F119" s="14">
        <f t="shared" si="1"/>
        <v>-95040</v>
      </c>
      <c r="G119" s="16"/>
    </row>
    <row r="120" spans="1:7" ht="21.75">
      <c r="A120" s="17"/>
      <c r="B120" s="18" t="s">
        <v>107</v>
      </c>
      <c r="C120" s="19"/>
      <c r="D120" s="28"/>
      <c r="E120" s="15"/>
      <c r="F120" s="14">
        <f t="shared" si="1"/>
        <v>-95040</v>
      </c>
      <c r="G120" s="16"/>
    </row>
    <row r="121" spans="1:7" ht="21.75">
      <c r="A121" s="17"/>
      <c r="B121" s="18" t="s">
        <v>108</v>
      </c>
      <c r="C121" s="19"/>
      <c r="D121" s="28"/>
      <c r="E121" s="15"/>
      <c r="F121" s="14">
        <f t="shared" si="1"/>
        <v>-95040</v>
      </c>
      <c r="G121" s="16"/>
    </row>
    <row r="122" spans="1:7" ht="21.75">
      <c r="A122" s="17"/>
      <c r="B122" s="18" t="s">
        <v>109</v>
      </c>
      <c r="C122" s="19"/>
      <c r="D122" s="28"/>
      <c r="E122" s="15"/>
      <c r="F122" s="14">
        <f t="shared" si="1"/>
        <v>-95040</v>
      </c>
      <c r="G122" s="16"/>
    </row>
    <row r="123" spans="1:7" ht="21.75">
      <c r="A123" s="17"/>
      <c r="B123" s="18" t="s">
        <v>110</v>
      </c>
      <c r="C123" s="19"/>
      <c r="D123" s="28"/>
      <c r="E123" s="15"/>
      <c r="F123" s="14">
        <f t="shared" si="1"/>
        <v>-95040</v>
      </c>
      <c r="G123" s="16"/>
    </row>
    <row r="124" spans="1:7" ht="21.75">
      <c r="A124" s="17"/>
      <c r="B124" s="18" t="s">
        <v>111</v>
      </c>
      <c r="C124" s="19"/>
      <c r="D124" s="28"/>
      <c r="E124" s="15"/>
      <c r="F124" s="14">
        <f t="shared" si="1"/>
        <v>-95040</v>
      </c>
      <c r="G124" s="16"/>
    </row>
    <row r="125" spans="1:7" ht="21.75">
      <c r="A125" s="17"/>
      <c r="B125" s="18" t="s">
        <v>89</v>
      </c>
      <c r="C125" s="19"/>
      <c r="D125" s="28"/>
      <c r="E125" s="15"/>
      <c r="F125" s="14">
        <f t="shared" si="1"/>
        <v>-95040</v>
      </c>
      <c r="G125" s="16">
        <f>SUM(E118:E125)</f>
        <v>0</v>
      </c>
    </row>
    <row r="126" spans="1:7" ht="21.75">
      <c r="A126" s="17">
        <v>45275</v>
      </c>
      <c r="B126" s="11" t="s">
        <v>7</v>
      </c>
      <c r="C126" s="12"/>
      <c r="D126" s="28"/>
      <c r="E126" s="15"/>
      <c r="F126" s="14">
        <f t="shared" si="1"/>
        <v>-95040</v>
      </c>
      <c r="G126" s="16"/>
    </row>
    <row r="127" spans="1:7" ht="21.75">
      <c r="A127" s="17"/>
      <c r="B127" s="18" t="s">
        <v>112</v>
      </c>
      <c r="C127" s="19"/>
      <c r="D127" s="28"/>
      <c r="E127" s="15"/>
      <c r="F127" s="14">
        <f t="shared" si="1"/>
        <v>-95040</v>
      </c>
      <c r="G127" s="16"/>
    </row>
    <row r="128" spans="1:7" ht="21.75">
      <c r="A128" s="17"/>
      <c r="B128" s="18" t="s">
        <v>20</v>
      </c>
      <c r="C128" s="19"/>
      <c r="D128" s="28"/>
      <c r="E128" s="15"/>
      <c r="F128" s="14">
        <f t="shared" si="1"/>
        <v>-95040</v>
      </c>
      <c r="G128" s="16"/>
    </row>
    <row r="129" spans="1:7" ht="21.75">
      <c r="A129" s="17"/>
      <c r="B129" s="18" t="s">
        <v>113</v>
      </c>
      <c r="C129" s="19"/>
      <c r="D129" s="28"/>
      <c r="E129" s="15"/>
      <c r="F129" s="14">
        <f t="shared" si="1"/>
        <v>-95040</v>
      </c>
      <c r="G129" s="16"/>
    </row>
    <row r="130" spans="1:7" ht="21.75">
      <c r="A130" s="17"/>
      <c r="B130" s="18" t="s">
        <v>114</v>
      </c>
      <c r="C130" s="19"/>
      <c r="D130" s="28"/>
      <c r="E130" s="15"/>
      <c r="F130" s="14">
        <f t="shared" si="1"/>
        <v>-95040</v>
      </c>
      <c r="G130" s="16"/>
    </row>
    <row r="131" spans="1:7" ht="21.75">
      <c r="A131" s="17"/>
      <c r="B131" s="18" t="s">
        <v>115</v>
      </c>
      <c r="C131" s="19"/>
      <c r="D131" s="28"/>
      <c r="E131" s="15"/>
      <c r="F131" s="14">
        <f t="shared" si="1"/>
        <v>-95040</v>
      </c>
      <c r="G131" s="16"/>
    </row>
    <row r="132" spans="1:7" ht="21.75">
      <c r="A132" s="17"/>
      <c r="B132" s="18" t="s">
        <v>116</v>
      </c>
      <c r="C132" s="19"/>
      <c r="D132" s="28"/>
      <c r="E132" s="15"/>
      <c r="F132" s="14">
        <f t="shared" si="1"/>
        <v>-95040</v>
      </c>
      <c r="G132" s="16"/>
    </row>
    <row r="133" spans="1:7" ht="21.75">
      <c r="A133" s="17"/>
      <c r="B133" s="18" t="s">
        <v>117</v>
      </c>
      <c r="C133" s="19"/>
      <c r="D133" s="28"/>
      <c r="E133" s="15"/>
      <c r="F133" s="14">
        <f t="shared" si="1"/>
        <v>-95040</v>
      </c>
      <c r="G133" s="16"/>
    </row>
    <row r="134" spans="1:7" ht="21.75">
      <c r="A134" s="17"/>
      <c r="B134" s="18" t="s">
        <v>54</v>
      </c>
      <c r="C134" s="19"/>
      <c r="D134" s="28"/>
      <c r="E134" s="15"/>
      <c r="F134" s="14">
        <f t="shared" ref="F134:F197" si="2">+F133+C134-D134-E134</f>
        <v>-95040</v>
      </c>
      <c r="G134" s="16"/>
    </row>
    <row r="135" spans="1:7" ht="21.75">
      <c r="A135" s="17"/>
      <c r="B135" s="18" t="s">
        <v>118</v>
      </c>
      <c r="C135" s="19"/>
      <c r="D135" s="28"/>
      <c r="E135" s="15"/>
      <c r="F135" s="14">
        <f t="shared" si="2"/>
        <v>-95040</v>
      </c>
      <c r="G135" s="16"/>
    </row>
    <row r="136" spans="1:7" ht="21.75">
      <c r="A136" s="17"/>
      <c r="B136" s="18" t="s">
        <v>119</v>
      </c>
      <c r="C136" s="19"/>
      <c r="D136" s="28"/>
      <c r="E136" s="15"/>
      <c r="F136" s="14">
        <f t="shared" si="2"/>
        <v>-95040</v>
      </c>
      <c r="G136" s="16"/>
    </row>
    <row r="137" spans="1:7" ht="21.75">
      <c r="A137" s="17"/>
      <c r="B137" s="18" t="s">
        <v>120</v>
      </c>
      <c r="C137" s="19"/>
      <c r="D137" s="28"/>
      <c r="E137" s="15"/>
      <c r="F137" s="14">
        <f t="shared" si="2"/>
        <v>-95040</v>
      </c>
      <c r="G137" s="16"/>
    </row>
    <row r="138" spans="1:7" ht="21.75">
      <c r="A138" s="17"/>
      <c r="B138" s="18" t="s">
        <v>121</v>
      </c>
      <c r="C138" s="19"/>
      <c r="D138" s="28"/>
      <c r="E138" s="15"/>
      <c r="F138" s="14">
        <f t="shared" si="2"/>
        <v>-95040</v>
      </c>
      <c r="G138" s="16">
        <f>SUM(E127:E138)</f>
        <v>0</v>
      </c>
    </row>
    <row r="139" spans="1:7" ht="21.75">
      <c r="A139" s="17">
        <v>45276</v>
      </c>
      <c r="B139" s="11" t="s">
        <v>7</v>
      </c>
      <c r="C139" s="12"/>
      <c r="D139" s="28"/>
      <c r="E139" s="15"/>
      <c r="F139" s="14">
        <f t="shared" si="2"/>
        <v>-95040</v>
      </c>
      <c r="G139" s="16"/>
    </row>
    <row r="140" spans="1:7" ht="21.75">
      <c r="A140" s="17"/>
      <c r="B140" s="18" t="s">
        <v>122</v>
      </c>
      <c r="C140" s="19"/>
      <c r="D140" s="28"/>
      <c r="E140" s="15"/>
      <c r="F140" s="14">
        <f t="shared" si="2"/>
        <v>-95040</v>
      </c>
      <c r="G140" s="16"/>
    </row>
    <row r="141" spans="1:7" ht="21.75">
      <c r="A141" s="17"/>
      <c r="B141" s="18" t="s">
        <v>126</v>
      </c>
      <c r="C141" s="19"/>
      <c r="D141" s="28"/>
      <c r="E141" s="15"/>
      <c r="F141" s="14">
        <f t="shared" si="2"/>
        <v>-95040</v>
      </c>
      <c r="G141" s="16"/>
    </row>
    <row r="142" spans="1:7" ht="21.75">
      <c r="A142" s="17"/>
      <c r="B142" s="18" t="s">
        <v>123</v>
      </c>
      <c r="C142" s="19"/>
      <c r="D142" s="28"/>
      <c r="E142" s="15"/>
      <c r="F142" s="14">
        <f t="shared" si="2"/>
        <v>-95040</v>
      </c>
      <c r="G142" s="16"/>
    </row>
    <row r="143" spans="1:7" ht="21.75">
      <c r="A143" s="17"/>
      <c r="B143" s="18" t="s">
        <v>124</v>
      </c>
      <c r="C143" s="19"/>
      <c r="D143" s="28"/>
      <c r="E143" s="15"/>
      <c r="F143" s="14">
        <f t="shared" si="2"/>
        <v>-95040</v>
      </c>
      <c r="G143" s="16"/>
    </row>
    <row r="144" spans="1:7" ht="21.75">
      <c r="A144" s="17"/>
      <c r="B144" s="18" t="s">
        <v>125</v>
      </c>
      <c r="C144" s="19"/>
      <c r="D144" s="28"/>
      <c r="E144" s="15"/>
      <c r="F144" s="14">
        <f t="shared" si="2"/>
        <v>-95040</v>
      </c>
      <c r="G144" s="16"/>
    </row>
    <row r="145" spans="1:7" ht="21.75">
      <c r="A145" s="17"/>
      <c r="B145" s="18" t="s">
        <v>127</v>
      </c>
      <c r="C145" s="19"/>
      <c r="D145" s="28"/>
      <c r="E145" s="15"/>
      <c r="F145" s="14">
        <f t="shared" si="2"/>
        <v>-95040</v>
      </c>
      <c r="G145" s="16"/>
    </row>
    <row r="146" spans="1:7" ht="21.75">
      <c r="A146" s="17"/>
      <c r="B146" s="18" t="s">
        <v>128</v>
      </c>
      <c r="C146" s="19"/>
      <c r="D146" s="28"/>
      <c r="E146" s="15"/>
      <c r="F146" s="14">
        <f t="shared" si="2"/>
        <v>-95040</v>
      </c>
      <c r="G146" s="16"/>
    </row>
    <row r="147" spans="1:7" ht="21.75">
      <c r="A147" s="17"/>
      <c r="B147" s="18" t="s">
        <v>20</v>
      </c>
      <c r="C147" s="19"/>
      <c r="D147" s="28"/>
      <c r="E147" s="15"/>
      <c r="F147" s="14">
        <f t="shared" si="2"/>
        <v>-95040</v>
      </c>
      <c r="G147" s="16"/>
    </row>
    <row r="148" spans="1:7" ht="21.75">
      <c r="A148" s="17"/>
      <c r="B148" s="18" t="s">
        <v>137</v>
      </c>
      <c r="C148" s="19"/>
      <c r="D148" s="28"/>
      <c r="E148" s="15"/>
      <c r="F148" s="14">
        <f t="shared" si="2"/>
        <v>-95040</v>
      </c>
      <c r="G148" s="16"/>
    </row>
    <row r="149" spans="1:7" ht="21.75">
      <c r="A149" s="17"/>
      <c r="B149" s="18" t="s">
        <v>138</v>
      </c>
      <c r="C149" s="19"/>
      <c r="D149" s="28"/>
      <c r="E149" s="15"/>
      <c r="F149" s="14">
        <f t="shared" si="2"/>
        <v>-95040</v>
      </c>
      <c r="G149" s="16"/>
    </row>
    <row r="150" spans="1:7" ht="21.75">
      <c r="A150" s="17"/>
      <c r="B150" s="18" t="s">
        <v>139</v>
      </c>
      <c r="C150" s="19"/>
      <c r="D150" s="28"/>
      <c r="E150" s="15"/>
      <c r="F150" s="14">
        <f t="shared" si="2"/>
        <v>-95040</v>
      </c>
      <c r="G150" s="16"/>
    </row>
    <row r="151" spans="1:7" ht="21.75">
      <c r="A151" s="17"/>
      <c r="B151" s="18" t="s">
        <v>140</v>
      </c>
      <c r="C151" s="19"/>
      <c r="D151" s="28"/>
      <c r="E151" s="15"/>
      <c r="F151" s="14">
        <f t="shared" si="2"/>
        <v>-95040</v>
      </c>
      <c r="G151" s="16">
        <f>SUM(E140:E151)</f>
        <v>0</v>
      </c>
    </row>
    <row r="152" spans="1:7" ht="21.75">
      <c r="A152" s="17">
        <v>45277</v>
      </c>
      <c r="B152" s="11" t="s">
        <v>7</v>
      </c>
      <c r="C152" s="12"/>
      <c r="D152" s="28"/>
      <c r="E152" s="15"/>
      <c r="F152" s="14">
        <f t="shared" si="2"/>
        <v>-95040</v>
      </c>
      <c r="G152" s="16"/>
    </row>
    <row r="153" spans="1:7" ht="21.75">
      <c r="A153" s="17"/>
      <c r="B153" s="18" t="s">
        <v>129</v>
      </c>
      <c r="C153" s="19"/>
      <c r="D153" s="28"/>
      <c r="E153" s="15"/>
      <c r="F153" s="14">
        <f t="shared" si="2"/>
        <v>-95040</v>
      </c>
      <c r="G153" s="16"/>
    </row>
    <row r="154" spans="1:7" ht="21.75">
      <c r="A154" s="17"/>
      <c r="B154" s="18" t="s">
        <v>87</v>
      </c>
      <c r="C154" s="19"/>
      <c r="D154" s="28"/>
      <c r="E154" s="15"/>
      <c r="F154" s="14">
        <f t="shared" si="2"/>
        <v>-95040</v>
      </c>
      <c r="G154" s="16"/>
    </row>
    <row r="155" spans="1:7" ht="21.75">
      <c r="A155" s="17"/>
      <c r="B155" s="18" t="s">
        <v>130</v>
      </c>
      <c r="C155" s="19"/>
      <c r="D155" s="28"/>
      <c r="E155" s="15"/>
      <c r="F155" s="14">
        <f t="shared" si="2"/>
        <v>-95040</v>
      </c>
      <c r="G155" s="16"/>
    </row>
    <row r="156" spans="1:7" ht="21.75">
      <c r="A156" s="17"/>
      <c r="B156" s="18" t="s">
        <v>131</v>
      </c>
      <c r="C156" s="19"/>
      <c r="D156" s="28"/>
      <c r="E156" s="15"/>
      <c r="F156" s="14">
        <f t="shared" si="2"/>
        <v>-95040</v>
      </c>
      <c r="G156" s="16"/>
    </row>
    <row r="157" spans="1:7" ht="21.75">
      <c r="A157" s="17"/>
      <c r="B157" s="18" t="s">
        <v>132</v>
      </c>
      <c r="C157" s="19"/>
      <c r="D157" s="28"/>
      <c r="E157" s="15"/>
      <c r="F157" s="14">
        <f t="shared" si="2"/>
        <v>-95040</v>
      </c>
      <c r="G157" s="16">
        <f>SUM(E153:E157)</f>
        <v>0</v>
      </c>
    </row>
    <row r="158" spans="1:7" ht="21.75">
      <c r="A158" s="17">
        <v>45278</v>
      </c>
      <c r="B158" s="11" t="s">
        <v>7</v>
      </c>
      <c r="C158" s="12"/>
      <c r="D158" s="28"/>
      <c r="E158" s="15"/>
      <c r="F158" s="14">
        <f t="shared" si="2"/>
        <v>-95040</v>
      </c>
      <c r="G158" s="16"/>
    </row>
    <row r="159" spans="1:7" ht="21.75">
      <c r="A159" s="17"/>
      <c r="B159" s="18" t="s">
        <v>133</v>
      </c>
      <c r="C159" s="19"/>
      <c r="D159" s="28"/>
      <c r="E159" s="15"/>
      <c r="F159" s="14">
        <f t="shared" si="2"/>
        <v>-95040</v>
      </c>
      <c r="G159" s="16"/>
    </row>
    <row r="160" spans="1:7" ht="21.75">
      <c r="A160" s="17"/>
      <c r="B160" s="18" t="s">
        <v>76</v>
      </c>
      <c r="C160" s="19"/>
      <c r="D160" s="28"/>
      <c r="E160" s="15"/>
      <c r="F160" s="14">
        <f t="shared" si="2"/>
        <v>-95040</v>
      </c>
      <c r="G160" s="16"/>
    </row>
    <row r="161" spans="1:7" ht="21.75">
      <c r="A161" s="17"/>
      <c r="B161" s="18" t="s">
        <v>115</v>
      </c>
      <c r="C161" s="19"/>
      <c r="D161" s="28"/>
      <c r="E161" s="15"/>
      <c r="F161" s="14">
        <f t="shared" si="2"/>
        <v>-95040</v>
      </c>
      <c r="G161" s="16"/>
    </row>
    <row r="162" spans="1:7" ht="21.75">
      <c r="A162" s="17"/>
      <c r="B162" s="18" t="s">
        <v>134</v>
      </c>
      <c r="C162" s="19"/>
      <c r="D162" s="28"/>
      <c r="E162" s="15"/>
      <c r="F162" s="14">
        <f t="shared" si="2"/>
        <v>-95040</v>
      </c>
      <c r="G162" s="16"/>
    </row>
    <row r="163" spans="1:7" ht="21.75">
      <c r="A163" s="17"/>
      <c r="B163" s="18" t="s">
        <v>135</v>
      </c>
      <c r="C163" s="19"/>
      <c r="D163" s="28"/>
      <c r="E163" s="15"/>
      <c r="F163" s="14">
        <f t="shared" si="2"/>
        <v>-95040</v>
      </c>
      <c r="G163" s="16"/>
    </row>
    <row r="164" spans="1:7" ht="21.75">
      <c r="A164" s="17"/>
      <c r="B164" s="18" t="s">
        <v>136</v>
      </c>
      <c r="C164" s="19"/>
      <c r="D164" s="28"/>
      <c r="E164" s="15"/>
      <c r="F164" s="14">
        <f t="shared" si="2"/>
        <v>-95040</v>
      </c>
      <c r="G164" s="16"/>
    </row>
    <row r="165" spans="1:7" ht="21.75">
      <c r="A165" s="17"/>
      <c r="B165" s="18" t="s">
        <v>10</v>
      </c>
      <c r="C165" s="19"/>
      <c r="D165" s="28"/>
      <c r="E165" s="15"/>
      <c r="F165" s="14">
        <f t="shared" si="2"/>
        <v>-95040</v>
      </c>
      <c r="G165" s="16"/>
    </row>
    <row r="166" spans="1:7" ht="21.75">
      <c r="A166" s="17"/>
      <c r="B166" s="18" t="s">
        <v>141</v>
      </c>
      <c r="C166" s="19"/>
      <c r="D166" s="28"/>
      <c r="E166" s="15"/>
      <c r="F166" s="14">
        <f t="shared" si="2"/>
        <v>-95040</v>
      </c>
      <c r="G166" s="16">
        <f>SUM(E159:E166)</f>
        <v>0</v>
      </c>
    </row>
    <row r="167" spans="1:7" ht="21.75">
      <c r="A167" s="17">
        <v>45279</v>
      </c>
      <c r="B167" s="11" t="s">
        <v>7</v>
      </c>
      <c r="C167" s="12"/>
      <c r="D167" s="28"/>
      <c r="E167" s="15"/>
      <c r="F167" s="14">
        <f t="shared" si="2"/>
        <v>-95040</v>
      </c>
      <c r="G167" s="16"/>
    </row>
    <row r="168" spans="1:7" ht="21.75">
      <c r="A168" s="17"/>
      <c r="B168" s="18" t="s">
        <v>142</v>
      </c>
      <c r="C168" s="19"/>
      <c r="D168" s="28"/>
      <c r="E168" s="15"/>
      <c r="F168" s="14">
        <f t="shared" si="2"/>
        <v>-95040</v>
      </c>
      <c r="G168" s="16"/>
    </row>
    <row r="169" spans="1:7" ht="21.75">
      <c r="A169" s="17"/>
      <c r="B169" s="18" t="s">
        <v>72</v>
      </c>
      <c r="C169" s="19"/>
      <c r="D169" s="28"/>
      <c r="E169" s="15"/>
      <c r="F169" s="14">
        <f t="shared" si="2"/>
        <v>-95040</v>
      </c>
      <c r="G169" s="16"/>
    </row>
    <row r="170" spans="1:7" ht="21.75">
      <c r="A170" s="17"/>
      <c r="B170" s="18" t="s">
        <v>143</v>
      </c>
      <c r="C170" s="19"/>
      <c r="D170" s="28"/>
      <c r="E170" s="15"/>
      <c r="F170" s="14">
        <f t="shared" si="2"/>
        <v>-95040</v>
      </c>
      <c r="G170" s="16"/>
    </row>
    <row r="171" spans="1:7" ht="21.75">
      <c r="A171" s="17"/>
      <c r="B171" s="18" t="s">
        <v>144</v>
      </c>
      <c r="C171" s="19"/>
      <c r="D171" s="28"/>
      <c r="E171" s="15"/>
      <c r="F171" s="14">
        <f t="shared" si="2"/>
        <v>-95040</v>
      </c>
      <c r="G171" s="16"/>
    </row>
    <row r="172" spans="1:7" ht="21.75">
      <c r="A172" s="17"/>
      <c r="B172" s="18" t="s">
        <v>145</v>
      </c>
      <c r="C172" s="19"/>
      <c r="D172" s="28"/>
      <c r="E172" s="15"/>
      <c r="F172" s="14">
        <f t="shared" si="2"/>
        <v>-95040</v>
      </c>
      <c r="G172" s="16"/>
    </row>
    <row r="173" spans="1:7" ht="21.75">
      <c r="A173" s="17"/>
      <c r="B173" s="18" t="s">
        <v>146</v>
      </c>
      <c r="C173" s="19"/>
      <c r="D173" s="28"/>
      <c r="E173" s="15"/>
      <c r="F173" s="14">
        <f t="shared" si="2"/>
        <v>-95040</v>
      </c>
      <c r="G173" s="16"/>
    </row>
    <row r="174" spans="1:7" ht="21.75">
      <c r="A174" s="17"/>
      <c r="B174" s="18" t="s">
        <v>147</v>
      </c>
      <c r="C174" s="19"/>
      <c r="D174" s="28"/>
      <c r="E174" s="15"/>
      <c r="F174" s="14">
        <f t="shared" si="2"/>
        <v>-95040</v>
      </c>
      <c r="G174" s="16"/>
    </row>
    <row r="175" spans="1:7" ht="21.75">
      <c r="A175" s="17"/>
      <c r="B175" s="18" t="s">
        <v>148</v>
      </c>
      <c r="C175" s="19"/>
      <c r="D175" s="28"/>
      <c r="E175" s="15"/>
      <c r="F175" s="14">
        <f t="shared" si="2"/>
        <v>-95040</v>
      </c>
      <c r="G175" s="16"/>
    </row>
    <row r="176" spans="1:7" ht="21.75">
      <c r="A176" s="17"/>
      <c r="B176" s="18" t="s">
        <v>149</v>
      </c>
      <c r="C176" s="19"/>
      <c r="D176" s="28"/>
      <c r="E176" s="15"/>
      <c r="F176" s="14">
        <f t="shared" si="2"/>
        <v>-95040</v>
      </c>
      <c r="G176" s="16">
        <f>SUM(E169:E176)</f>
        <v>0</v>
      </c>
    </row>
    <row r="177" spans="1:7" ht="21.75">
      <c r="A177" s="17">
        <v>45280</v>
      </c>
      <c r="B177" s="11" t="s">
        <v>7</v>
      </c>
      <c r="C177" s="12"/>
      <c r="D177" s="28"/>
      <c r="E177" s="15"/>
      <c r="F177" s="14">
        <f t="shared" si="2"/>
        <v>-95040</v>
      </c>
      <c r="G177" s="16"/>
    </row>
    <row r="178" spans="1:7" ht="21.75">
      <c r="A178" s="17"/>
      <c r="B178" s="18" t="s">
        <v>152</v>
      </c>
      <c r="C178" s="19"/>
      <c r="D178" s="28"/>
      <c r="E178" s="15"/>
      <c r="F178" s="14">
        <f t="shared" si="2"/>
        <v>-95040</v>
      </c>
      <c r="G178" s="16"/>
    </row>
    <row r="179" spans="1:7" ht="21.75">
      <c r="A179" s="17"/>
      <c r="B179" s="18" t="s">
        <v>88</v>
      </c>
      <c r="C179" s="19"/>
      <c r="D179" s="28"/>
      <c r="E179" s="15"/>
      <c r="F179" s="14">
        <f t="shared" si="2"/>
        <v>-95040</v>
      </c>
      <c r="G179" s="16"/>
    </row>
    <row r="180" spans="1:7" ht="21.75">
      <c r="A180" s="17"/>
      <c r="B180" s="18" t="s">
        <v>54</v>
      </c>
      <c r="C180" s="19"/>
      <c r="D180" s="28"/>
      <c r="E180" s="15"/>
      <c r="F180" s="14">
        <f t="shared" si="2"/>
        <v>-95040</v>
      </c>
      <c r="G180" s="16"/>
    </row>
    <row r="181" spans="1:7" ht="21.75">
      <c r="A181" s="17"/>
      <c r="B181" s="18" t="s">
        <v>150</v>
      </c>
      <c r="C181" s="19"/>
      <c r="D181" s="28"/>
      <c r="E181" s="15"/>
      <c r="F181" s="14">
        <f t="shared" si="2"/>
        <v>-95040</v>
      </c>
      <c r="G181" s="16"/>
    </row>
    <row r="182" spans="1:7" ht="21.75">
      <c r="A182" s="17"/>
      <c r="B182" s="18" t="s">
        <v>153</v>
      </c>
      <c r="C182" s="19"/>
      <c r="D182" s="28"/>
      <c r="E182" s="15"/>
      <c r="F182" s="14">
        <f t="shared" si="2"/>
        <v>-95040</v>
      </c>
      <c r="G182" s="16"/>
    </row>
    <row r="183" spans="1:7" ht="21.75">
      <c r="A183" s="17"/>
      <c r="B183" s="18" t="s">
        <v>154</v>
      </c>
      <c r="C183" s="19"/>
      <c r="D183" s="28"/>
      <c r="E183" s="15"/>
      <c r="F183" s="14">
        <f t="shared" si="2"/>
        <v>-95040</v>
      </c>
      <c r="G183" s="16"/>
    </row>
    <row r="184" spans="1:7" ht="21.75">
      <c r="A184" s="17"/>
      <c r="B184" s="18" t="s">
        <v>155</v>
      </c>
      <c r="C184" s="19"/>
      <c r="D184" s="28"/>
      <c r="E184" s="15"/>
      <c r="F184" s="14">
        <f t="shared" si="2"/>
        <v>-95040</v>
      </c>
      <c r="G184" s="16"/>
    </row>
    <row r="185" spans="1:7" ht="21.75">
      <c r="A185" s="17"/>
      <c r="B185" s="18" t="s">
        <v>169</v>
      </c>
      <c r="C185" s="19"/>
      <c r="D185" s="28"/>
      <c r="E185" s="15"/>
      <c r="F185" s="14">
        <f t="shared" si="2"/>
        <v>-95040</v>
      </c>
      <c r="G185" s="16"/>
    </row>
    <row r="186" spans="1:7" ht="21.75">
      <c r="A186" s="17"/>
      <c r="B186" s="18" t="s">
        <v>170</v>
      </c>
      <c r="C186" s="19"/>
      <c r="D186" s="28"/>
      <c r="E186" s="15"/>
      <c r="F186" s="14">
        <f t="shared" si="2"/>
        <v>-95040</v>
      </c>
      <c r="G186" s="16"/>
    </row>
    <row r="187" spans="1:7" ht="21.75">
      <c r="A187" s="17"/>
      <c r="B187" s="18" t="s">
        <v>156</v>
      </c>
      <c r="C187" s="19"/>
      <c r="D187" s="28"/>
      <c r="E187" s="15"/>
      <c r="F187" s="14">
        <f t="shared" si="2"/>
        <v>-95040</v>
      </c>
      <c r="G187" s="16">
        <f>SUM(E178:E187)</f>
        <v>0</v>
      </c>
    </row>
    <row r="188" spans="1:7" ht="21.75">
      <c r="A188" s="17">
        <v>45281</v>
      </c>
      <c r="B188" s="11" t="s">
        <v>7</v>
      </c>
      <c r="C188" s="12"/>
      <c r="D188" s="28"/>
      <c r="E188" s="15"/>
      <c r="F188" s="14">
        <f t="shared" si="2"/>
        <v>-95040</v>
      </c>
      <c r="G188" s="16"/>
    </row>
    <row r="189" spans="1:7" ht="21.75">
      <c r="A189" s="17"/>
      <c r="B189" s="18" t="s">
        <v>157</v>
      </c>
      <c r="C189" s="19"/>
      <c r="D189" s="28"/>
      <c r="E189" s="15"/>
      <c r="F189" s="14">
        <f t="shared" si="2"/>
        <v>-95040</v>
      </c>
      <c r="G189" s="16"/>
    </row>
    <row r="190" spans="1:7" ht="21.75">
      <c r="A190" s="17"/>
      <c r="B190" s="18" t="s">
        <v>158</v>
      </c>
      <c r="C190" s="19"/>
      <c r="D190" s="28"/>
      <c r="E190" s="15"/>
      <c r="F190" s="14">
        <f t="shared" si="2"/>
        <v>-95040</v>
      </c>
      <c r="G190" s="16"/>
    </row>
    <row r="191" spans="1:7" ht="21.75">
      <c r="A191" s="17"/>
      <c r="B191" s="18" t="s">
        <v>159</v>
      </c>
      <c r="C191" s="19"/>
      <c r="D191" s="28"/>
      <c r="E191" s="15"/>
      <c r="F191" s="14">
        <f t="shared" si="2"/>
        <v>-95040</v>
      </c>
      <c r="G191" s="16"/>
    </row>
    <row r="192" spans="1:7" ht="21.75">
      <c r="A192" s="17"/>
      <c r="B192" s="18" t="s">
        <v>160</v>
      </c>
      <c r="C192" s="19"/>
      <c r="D192" s="28"/>
      <c r="E192" s="15"/>
      <c r="F192" s="14">
        <f t="shared" si="2"/>
        <v>-95040</v>
      </c>
      <c r="G192" s="16"/>
    </row>
    <row r="193" spans="1:7" ht="21.75">
      <c r="A193" s="17"/>
      <c r="B193" s="18" t="s">
        <v>161</v>
      </c>
      <c r="C193" s="19"/>
      <c r="D193" s="28"/>
      <c r="E193" s="15"/>
      <c r="F193" s="14">
        <f t="shared" si="2"/>
        <v>-95040</v>
      </c>
      <c r="G193" s="16"/>
    </row>
    <row r="194" spans="1:7" ht="21.75">
      <c r="A194" s="17"/>
      <c r="B194" s="18" t="s">
        <v>147</v>
      </c>
      <c r="C194" s="19"/>
      <c r="D194" s="28"/>
      <c r="E194" s="15"/>
      <c r="F194" s="14">
        <f t="shared" si="2"/>
        <v>-95040</v>
      </c>
      <c r="G194" s="16"/>
    </row>
    <row r="195" spans="1:7" ht="21.75">
      <c r="A195" s="17"/>
      <c r="B195" s="18" t="s">
        <v>162</v>
      </c>
      <c r="C195" s="19"/>
      <c r="D195" s="28"/>
      <c r="E195" s="15"/>
      <c r="F195" s="14">
        <f t="shared" si="2"/>
        <v>-95040</v>
      </c>
      <c r="G195" s="16"/>
    </row>
    <row r="196" spans="1:7" ht="21.75">
      <c r="A196" s="17"/>
      <c r="B196" s="18" t="s">
        <v>163</v>
      </c>
      <c r="C196" s="19"/>
      <c r="D196" s="28"/>
      <c r="E196" s="15"/>
      <c r="F196" s="14">
        <f t="shared" si="2"/>
        <v>-95040</v>
      </c>
      <c r="G196" s="16"/>
    </row>
    <row r="197" spans="1:7" ht="21.75">
      <c r="A197" s="17"/>
      <c r="B197" s="18" t="s">
        <v>164</v>
      </c>
      <c r="C197" s="19"/>
      <c r="D197" s="28"/>
      <c r="E197" s="15"/>
      <c r="F197" s="14">
        <f t="shared" si="2"/>
        <v>-95040</v>
      </c>
      <c r="G197" s="16">
        <f>SUM(E189:E197)</f>
        <v>0</v>
      </c>
    </row>
    <row r="198" spans="1:7" ht="21.75">
      <c r="A198" s="17">
        <v>45282</v>
      </c>
      <c r="B198" s="11" t="s">
        <v>7</v>
      </c>
      <c r="C198" s="12"/>
      <c r="D198" s="28"/>
      <c r="E198" s="15"/>
      <c r="F198" s="14">
        <f t="shared" ref="F198:F261" si="3">+F197+C198-D198-E198</f>
        <v>-95040</v>
      </c>
      <c r="G198" s="16"/>
    </row>
    <row r="199" spans="1:7" ht="21.75">
      <c r="A199" s="17"/>
      <c r="B199" s="18" t="s">
        <v>165</v>
      </c>
      <c r="C199" s="19"/>
      <c r="D199" s="28"/>
      <c r="E199" s="15"/>
      <c r="F199" s="14">
        <f t="shared" si="3"/>
        <v>-95040</v>
      </c>
      <c r="G199" s="16"/>
    </row>
    <row r="200" spans="1:7" ht="21.75">
      <c r="A200" s="17"/>
      <c r="B200" s="18" t="s">
        <v>166</v>
      </c>
      <c r="C200" s="19"/>
      <c r="D200" s="28"/>
      <c r="E200" s="15"/>
      <c r="F200" s="14">
        <f t="shared" si="3"/>
        <v>-95040</v>
      </c>
      <c r="G200" s="16"/>
    </row>
    <row r="201" spans="1:7" ht="21.75">
      <c r="A201" s="17"/>
      <c r="B201" s="18" t="s">
        <v>207</v>
      </c>
      <c r="C201" s="19"/>
      <c r="D201" s="28"/>
      <c r="E201" s="15"/>
      <c r="F201" s="14">
        <f t="shared" si="3"/>
        <v>-95040</v>
      </c>
      <c r="G201" s="16"/>
    </row>
    <row r="202" spans="1:7" ht="21.75">
      <c r="A202" s="17"/>
      <c r="B202" s="18" t="s">
        <v>167</v>
      </c>
      <c r="C202" s="19"/>
      <c r="D202" s="28"/>
      <c r="E202" s="15"/>
      <c r="F202" s="14">
        <f t="shared" si="3"/>
        <v>-95040</v>
      </c>
      <c r="G202" s="16">
        <f>SUM(E199:E202)</f>
        <v>0</v>
      </c>
    </row>
    <row r="203" spans="1:7" ht="21.75">
      <c r="A203" s="17">
        <v>45283</v>
      </c>
      <c r="B203" s="11" t="s">
        <v>7</v>
      </c>
      <c r="C203" s="12"/>
      <c r="D203" s="28"/>
      <c r="E203" s="15"/>
      <c r="F203" s="14">
        <f t="shared" si="3"/>
        <v>-95040</v>
      </c>
      <c r="G203" s="16"/>
    </row>
    <row r="204" spans="1:7" ht="21.75">
      <c r="A204" s="17"/>
      <c r="B204" s="18" t="s">
        <v>168</v>
      </c>
      <c r="C204" s="19"/>
      <c r="D204" s="28"/>
      <c r="E204" s="15"/>
      <c r="F204" s="14">
        <f t="shared" si="3"/>
        <v>-95040</v>
      </c>
      <c r="G204" s="16"/>
    </row>
    <row r="205" spans="1:7" ht="21.75">
      <c r="A205" s="17"/>
      <c r="B205" s="18" t="s">
        <v>171</v>
      </c>
      <c r="C205" s="19"/>
      <c r="D205" s="28"/>
      <c r="E205" s="15"/>
      <c r="F205" s="14">
        <f t="shared" si="3"/>
        <v>-95040</v>
      </c>
      <c r="G205" s="16"/>
    </row>
    <row r="206" spans="1:7" ht="21.75">
      <c r="A206" s="17"/>
      <c r="B206" s="18" t="s">
        <v>20</v>
      </c>
      <c r="C206" s="19"/>
      <c r="D206" s="28"/>
      <c r="E206" s="15"/>
      <c r="F206" s="14">
        <f t="shared" si="3"/>
        <v>-95040</v>
      </c>
      <c r="G206" s="16"/>
    </row>
    <row r="207" spans="1:7" ht="21.75">
      <c r="A207" s="17"/>
      <c r="B207" s="18" t="s">
        <v>172</v>
      </c>
      <c r="C207" s="19"/>
      <c r="D207" s="28"/>
      <c r="E207" s="15"/>
      <c r="F207" s="14">
        <f t="shared" si="3"/>
        <v>-95040</v>
      </c>
      <c r="G207" s="16"/>
    </row>
    <row r="208" spans="1:7" ht="21.75">
      <c r="A208" s="17"/>
      <c r="B208" s="18" t="s">
        <v>15</v>
      </c>
      <c r="C208" s="19"/>
      <c r="D208" s="28"/>
      <c r="E208" s="15"/>
      <c r="F208" s="14">
        <f t="shared" si="3"/>
        <v>-95040</v>
      </c>
      <c r="G208" s="16">
        <f>SUM(E204:E208)</f>
        <v>0</v>
      </c>
    </row>
    <row r="209" spans="1:7" ht="21.75">
      <c r="A209" s="17">
        <v>45284</v>
      </c>
      <c r="B209" s="11" t="s">
        <v>7</v>
      </c>
      <c r="C209" s="12"/>
      <c r="D209" s="28"/>
      <c r="E209" s="15"/>
      <c r="F209" s="14">
        <f t="shared" si="3"/>
        <v>-95040</v>
      </c>
      <c r="G209" s="16"/>
    </row>
    <row r="210" spans="1:7" ht="21.75">
      <c r="A210" s="17"/>
      <c r="B210" s="18" t="s">
        <v>173</v>
      </c>
      <c r="C210" s="19"/>
      <c r="D210" s="28"/>
      <c r="E210" s="15"/>
      <c r="F210" s="14">
        <f t="shared" si="3"/>
        <v>-95040</v>
      </c>
      <c r="G210" s="16"/>
    </row>
    <row r="211" spans="1:7" ht="21.75">
      <c r="A211" s="17"/>
      <c r="B211" s="18" t="s">
        <v>174</v>
      </c>
      <c r="C211" s="19"/>
      <c r="D211" s="28"/>
      <c r="E211" s="15"/>
      <c r="F211" s="14">
        <f t="shared" si="3"/>
        <v>-95040</v>
      </c>
      <c r="G211" s="16"/>
    </row>
    <row r="212" spans="1:7" ht="21.75">
      <c r="A212" s="17"/>
      <c r="B212" s="18" t="s">
        <v>175</v>
      </c>
      <c r="C212" s="19"/>
      <c r="D212" s="28"/>
      <c r="E212" s="15"/>
      <c r="F212" s="14">
        <f t="shared" si="3"/>
        <v>-95040</v>
      </c>
      <c r="G212" s="16"/>
    </row>
    <row r="213" spans="1:7" ht="21.75">
      <c r="A213" s="17"/>
      <c r="B213" s="18" t="s">
        <v>177</v>
      </c>
      <c r="C213" s="19"/>
      <c r="D213" s="28"/>
      <c r="E213" s="15"/>
      <c r="F213" s="14">
        <f t="shared" si="3"/>
        <v>-95040</v>
      </c>
      <c r="G213" s="16"/>
    </row>
    <row r="214" spans="1:7" ht="21.75">
      <c r="A214" s="17"/>
      <c r="B214" s="18" t="s">
        <v>176</v>
      </c>
      <c r="C214" s="19"/>
      <c r="D214" s="28"/>
      <c r="E214" s="15"/>
      <c r="F214" s="14">
        <f t="shared" si="3"/>
        <v>-95040</v>
      </c>
      <c r="G214" s="16">
        <f>SUM(E210:E214)</f>
        <v>0</v>
      </c>
    </row>
    <row r="215" spans="1:7" ht="21.75">
      <c r="A215" s="17">
        <v>45285</v>
      </c>
      <c r="B215" s="11" t="s">
        <v>7</v>
      </c>
      <c r="C215" s="12"/>
      <c r="D215" s="28"/>
      <c r="E215" s="15"/>
      <c r="F215" s="14">
        <f t="shared" si="3"/>
        <v>-95040</v>
      </c>
      <c r="G215" s="16"/>
    </row>
    <row r="216" spans="1:7" ht="21.75">
      <c r="A216" s="17"/>
      <c r="B216" s="18" t="s">
        <v>178</v>
      </c>
      <c r="C216" s="19"/>
      <c r="D216" s="28"/>
      <c r="E216" s="15"/>
      <c r="F216" s="14">
        <f t="shared" si="3"/>
        <v>-95040</v>
      </c>
      <c r="G216" s="16"/>
    </row>
    <row r="217" spans="1:7" ht="21.75">
      <c r="A217" s="17"/>
      <c r="B217" s="18" t="s">
        <v>179</v>
      </c>
      <c r="C217" s="19"/>
      <c r="D217" s="28"/>
      <c r="E217" s="15"/>
      <c r="F217" s="14">
        <f t="shared" si="3"/>
        <v>-95040</v>
      </c>
      <c r="G217" s="16">
        <f>SUM(E216:E217)</f>
        <v>0</v>
      </c>
    </row>
    <row r="218" spans="1:7" ht="21.75">
      <c r="A218" s="17">
        <v>45286</v>
      </c>
      <c r="B218" s="11" t="s">
        <v>7</v>
      </c>
      <c r="C218" s="12"/>
      <c r="D218" s="28"/>
      <c r="E218" s="15"/>
      <c r="F218" s="14">
        <f t="shared" si="3"/>
        <v>-95040</v>
      </c>
      <c r="G218" s="16"/>
    </row>
    <row r="219" spans="1:7" ht="21.75">
      <c r="A219" s="17"/>
      <c r="B219" s="18" t="s">
        <v>180</v>
      </c>
      <c r="C219" s="19"/>
      <c r="D219" s="28"/>
      <c r="E219" s="15"/>
      <c r="F219" s="14">
        <f t="shared" si="3"/>
        <v>-95040</v>
      </c>
      <c r="G219" s="16"/>
    </row>
    <row r="220" spans="1:7" ht="21.75">
      <c r="A220" s="17"/>
      <c r="B220" s="18" t="s">
        <v>181</v>
      </c>
      <c r="C220" s="19"/>
      <c r="D220" s="28"/>
      <c r="E220" s="15"/>
      <c r="F220" s="14">
        <f t="shared" si="3"/>
        <v>-95040</v>
      </c>
      <c r="G220" s="16"/>
    </row>
    <row r="221" spans="1:7" ht="21.75">
      <c r="A221" s="17"/>
      <c r="B221" s="18" t="s">
        <v>182</v>
      </c>
      <c r="C221" s="19"/>
      <c r="D221" s="28"/>
      <c r="E221" s="15"/>
      <c r="F221" s="14">
        <f t="shared" si="3"/>
        <v>-95040</v>
      </c>
      <c r="G221" s="16"/>
    </row>
    <row r="222" spans="1:7" ht="21.75">
      <c r="A222" s="17"/>
      <c r="B222" s="18" t="s">
        <v>105</v>
      </c>
      <c r="C222" s="19"/>
      <c r="D222" s="28"/>
      <c r="E222" s="15"/>
      <c r="F222" s="14">
        <f t="shared" si="3"/>
        <v>-95040</v>
      </c>
      <c r="G222" s="16"/>
    </row>
    <row r="223" spans="1:7" ht="21.75">
      <c r="A223" s="17"/>
      <c r="B223" s="18" t="s">
        <v>183</v>
      </c>
      <c r="C223" s="19"/>
      <c r="D223" s="28"/>
      <c r="E223" s="15"/>
      <c r="F223" s="14">
        <f t="shared" si="3"/>
        <v>-95040</v>
      </c>
      <c r="G223" s="16"/>
    </row>
    <row r="224" spans="1:7" ht="21.75">
      <c r="A224" s="17"/>
      <c r="B224" s="18" t="s">
        <v>184</v>
      </c>
      <c r="C224" s="19"/>
      <c r="D224" s="28"/>
      <c r="E224" s="15"/>
      <c r="F224" s="14">
        <f t="shared" si="3"/>
        <v>-95040</v>
      </c>
      <c r="G224" s="16"/>
    </row>
    <row r="225" spans="1:7" ht="21.75">
      <c r="A225" s="17"/>
      <c r="B225" s="18" t="s">
        <v>185</v>
      </c>
      <c r="C225" s="19"/>
      <c r="D225" s="28"/>
      <c r="E225" s="15"/>
      <c r="F225" s="14">
        <f t="shared" si="3"/>
        <v>-95040</v>
      </c>
      <c r="G225" s="16">
        <f>SUM(E219:E225)</f>
        <v>0</v>
      </c>
    </row>
    <row r="226" spans="1:7" ht="21.75">
      <c r="A226" s="17">
        <v>45287</v>
      </c>
      <c r="B226" s="11" t="s">
        <v>7</v>
      </c>
      <c r="C226" s="12"/>
      <c r="D226" s="28"/>
      <c r="E226" s="15"/>
      <c r="F226" s="14">
        <f t="shared" si="3"/>
        <v>-95040</v>
      </c>
      <c r="G226" s="16"/>
    </row>
    <row r="227" spans="1:7" ht="21.75">
      <c r="A227" s="17"/>
      <c r="B227" s="18" t="s">
        <v>186</v>
      </c>
      <c r="C227" s="19"/>
      <c r="D227" s="28"/>
      <c r="E227" s="15"/>
      <c r="F227" s="14">
        <f t="shared" si="3"/>
        <v>-95040</v>
      </c>
      <c r="G227" s="16"/>
    </row>
    <row r="228" spans="1:7" ht="21.75">
      <c r="A228" s="17"/>
      <c r="B228" s="18" t="s">
        <v>187</v>
      </c>
      <c r="C228" s="19"/>
      <c r="D228" s="28"/>
      <c r="E228" s="15"/>
      <c r="F228" s="14">
        <f t="shared" si="3"/>
        <v>-95040</v>
      </c>
      <c r="G228" s="16"/>
    </row>
    <row r="229" spans="1:7" ht="21.75">
      <c r="A229" s="17"/>
      <c r="B229" s="18" t="s">
        <v>188</v>
      </c>
      <c r="C229" s="19"/>
      <c r="D229" s="28"/>
      <c r="E229" s="15"/>
      <c r="F229" s="14">
        <f t="shared" si="3"/>
        <v>-95040</v>
      </c>
      <c r="G229" s="16"/>
    </row>
    <row r="230" spans="1:7" ht="21.75">
      <c r="A230" s="17"/>
      <c r="B230" s="18" t="s">
        <v>147</v>
      </c>
      <c r="C230" s="19"/>
      <c r="D230" s="28"/>
      <c r="E230" s="15"/>
      <c r="F230" s="14">
        <f t="shared" si="3"/>
        <v>-95040</v>
      </c>
      <c r="G230" s="16"/>
    </row>
    <row r="231" spans="1:7" ht="21.75">
      <c r="A231" s="17"/>
      <c r="B231" s="18" t="s">
        <v>189</v>
      </c>
      <c r="C231" s="19"/>
      <c r="D231" s="28"/>
      <c r="E231" s="15"/>
      <c r="F231" s="14">
        <f t="shared" si="3"/>
        <v>-95040</v>
      </c>
      <c r="G231" s="16"/>
    </row>
    <row r="232" spans="1:7" ht="21.75">
      <c r="A232" s="17"/>
      <c r="B232" s="18" t="s">
        <v>190</v>
      </c>
      <c r="C232" s="19"/>
      <c r="D232" s="28"/>
      <c r="E232" s="15"/>
      <c r="F232" s="14">
        <f t="shared" si="3"/>
        <v>-95040</v>
      </c>
      <c r="G232" s="16"/>
    </row>
    <row r="233" spans="1:7" ht="21.75">
      <c r="A233" s="17"/>
      <c r="B233" s="18" t="s">
        <v>199</v>
      </c>
      <c r="C233" s="19"/>
      <c r="D233" s="28"/>
      <c r="E233" s="15"/>
      <c r="F233" s="14">
        <f t="shared" si="3"/>
        <v>-95040</v>
      </c>
      <c r="G233" s="16"/>
    </row>
    <row r="234" spans="1:7" ht="21.75">
      <c r="A234" s="17"/>
      <c r="B234" s="18" t="s">
        <v>191</v>
      </c>
      <c r="C234" s="19"/>
      <c r="D234" s="28"/>
      <c r="E234" s="15"/>
      <c r="F234" s="14">
        <f t="shared" si="3"/>
        <v>-95040</v>
      </c>
      <c r="G234" s="16">
        <f>SUM(E227:E234)</f>
        <v>0</v>
      </c>
    </row>
    <row r="235" spans="1:7" ht="21.75">
      <c r="A235" s="17">
        <v>45288</v>
      </c>
      <c r="B235" s="11" t="s">
        <v>7</v>
      </c>
      <c r="C235" s="12"/>
      <c r="D235" s="28"/>
      <c r="E235" s="15"/>
      <c r="F235" s="14">
        <f t="shared" si="3"/>
        <v>-95040</v>
      </c>
      <c r="G235" s="16"/>
    </row>
    <row r="236" spans="1:7" ht="21.75">
      <c r="A236" s="17"/>
      <c r="B236" s="18" t="s">
        <v>192</v>
      </c>
      <c r="C236" s="19"/>
      <c r="D236" s="28"/>
      <c r="E236" s="15"/>
      <c r="F236" s="14">
        <f t="shared" si="3"/>
        <v>-95040</v>
      </c>
      <c r="G236" s="16"/>
    </row>
    <row r="237" spans="1:7" ht="21.75">
      <c r="A237" s="17"/>
      <c r="B237" s="18" t="s">
        <v>193</v>
      </c>
      <c r="C237" s="19"/>
      <c r="D237" s="28"/>
      <c r="E237" s="15"/>
      <c r="F237" s="14">
        <f t="shared" si="3"/>
        <v>-95040</v>
      </c>
      <c r="G237" s="16"/>
    </row>
    <row r="238" spans="1:7" ht="21.75">
      <c r="A238" s="17"/>
      <c r="B238" s="18" t="s">
        <v>194</v>
      </c>
      <c r="C238" s="19"/>
      <c r="D238" s="28"/>
      <c r="E238" s="15"/>
      <c r="F238" s="14">
        <f t="shared" si="3"/>
        <v>-95040</v>
      </c>
      <c r="G238" s="16"/>
    </row>
    <row r="239" spans="1:7" ht="21.75">
      <c r="A239" s="17"/>
      <c r="B239" s="18" t="s">
        <v>195</v>
      </c>
      <c r="C239" s="19"/>
      <c r="D239" s="28"/>
      <c r="E239" s="15"/>
      <c r="F239" s="14">
        <f t="shared" si="3"/>
        <v>-95040</v>
      </c>
      <c r="G239" s="16"/>
    </row>
    <row r="240" spans="1:7" ht="21.75">
      <c r="A240" s="17"/>
      <c r="B240" s="18" t="s">
        <v>196</v>
      </c>
      <c r="C240" s="19"/>
      <c r="D240" s="28"/>
      <c r="E240" s="15"/>
      <c r="F240" s="14">
        <f t="shared" si="3"/>
        <v>-95040</v>
      </c>
      <c r="G240" s="16"/>
    </row>
    <row r="241" spans="1:7" ht="21.75">
      <c r="A241" s="17"/>
      <c r="B241" s="18" t="s">
        <v>197</v>
      </c>
      <c r="C241" s="19"/>
      <c r="D241" s="28"/>
      <c r="E241" s="15"/>
      <c r="F241" s="14">
        <f t="shared" si="3"/>
        <v>-95040</v>
      </c>
      <c r="G241" s="16"/>
    </row>
    <row r="242" spans="1:7" ht="21.75">
      <c r="A242" s="17"/>
      <c r="B242" s="18" t="s">
        <v>198</v>
      </c>
      <c r="C242" s="19"/>
      <c r="D242" s="28"/>
      <c r="E242" s="15"/>
      <c r="F242" s="14">
        <f t="shared" si="3"/>
        <v>-95040</v>
      </c>
      <c r="G242" s="16"/>
    </row>
    <row r="243" spans="1:7" ht="21.75">
      <c r="A243" s="17"/>
      <c r="B243" s="18" t="s">
        <v>180</v>
      </c>
      <c r="C243" s="19"/>
      <c r="D243" s="28"/>
      <c r="E243" s="15"/>
      <c r="F243" s="14">
        <f t="shared" si="3"/>
        <v>-95040</v>
      </c>
      <c r="G243" s="16"/>
    </row>
    <row r="244" spans="1:7" ht="21.75">
      <c r="A244" s="17"/>
      <c r="B244" s="18" t="s">
        <v>54</v>
      </c>
      <c r="C244" s="19"/>
      <c r="D244" s="28"/>
      <c r="E244" s="15"/>
      <c r="F244" s="14">
        <f t="shared" si="3"/>
        <v>-95040</v>
      </c>
      <c r="G244" s="16"/>
    </row>
    <row r="245" spans="1:7" ht="21.75">
      <c r="A245" s="17"/>
      <c r="B245" s="18" t="s">
        <v>200</v>
      </c>
      <c r="C245" s="19"/>
      <c r="D245" s="28"/>
      <c r="E245" s="15"/>
      <c r="F245" s="14">
        <f t="shared" si="3"/>
        <v>-95040</v>
      </c>
      <c r="G245" s="16">
        <f>SUM(E236:E245)</f>
        <v>0</v>
      </c>
    </row>
    <row r="246" spans="1:7" ht="21.75">
      <c r="A246" s="17"/>
      <c r="B246" s="18" t="s">
        <v>201</v>
      </c>
      <c r="C246" s="19"/>
      <c r="D246" s="28">
        <v>300000</v>
      </c>
      <c r="E246" s="15"/>
      <c r="F246" s="14">
        <f t="shared" si="3"/>
        <v>-395040</v>
      </c>
      <c r="G246" s="16"/>
    </row>
    <row r="247" spans="1:7" ht="21.75">
      <c r="A247" s="17">
        <v>45289</v>
      </c>
      <c r="B247" s="11" t="s">
        <v>7</v>
      </c>
      <c r="C247" s="12"/>
      <c r="D247" s="28"/>
      <c r="E247" s="15"/>
      <c r="F247" s="14">
        <f t="shared" si="3"/>
        <v>-395040</v>
      </c>
      <c r="G247" s="16"/>
    </row>
    <row r="248" spans="1:7" ht="21.75">
      <c r="A248" s="17"/>
      <c r="B248" s="18" t="s">
        <v>202</v>
      </c>
      <c r="C248" s="19"/>
      <c r="D248" s="28"/>
      <c r="E248" s="15"/>
      <c r="F248" s="14">
        <f t="shared" si="3"/>
        <v>-395040</v>
      </c>
      <c r="G248" s="16"/>
    </row>
    <row r="249" spans="1:7" ht="21.75">
      <c r="A249" s="17"/>
      <c r="B249" s="18" t="s">
        <v>203</v>
      </c>
      <c r="C249" s="19"/>
      <c r="D249" s="28"/>
      <c r="E249" s="15"/>
      <c r="F249" s="14">
        <f t="shared" si="3"/>
        <v>-395040</v>
      </c>
      <c r="G249" s="16"/>
    </row>
    <row r="250" spans="1:7" ht="21.75">
      <c r="A250" s="17"/>
      <c r="B250" s="18" t="s">
        <v>204</v>
      </c>
      <c r="C250" s="19"/>
      <c r="D250" s="28"/>
      <c r="E250" s="15"/>
      <c r="F250" s="14">
        <f t="shared" si="3"/>
        <v>-395040</v>
      </c>
      <c r="G250" s="16"/>
    </row>
    <row r="251" spans="1:7" ht="21.75">
      <c r="A251" s="17"/>
      <c r="B251" s="18" t="s">
        <v>205</v>
      </c>
      <c r="C251" s="19"/>
      <c r="D251" s="28"/>
      <c r="E251" s="15"/>
      <c r="F251" s="14">
        <f t="shared" si="3"/>
        <v>-395040</v>
      </c>
      <c r="G251" s="16"/>
    </row>
    <row r="252" spans="1:7" ht="21.75">
      <c r="A252" s="17"/>
      <c r="B252" s="18" t="s">
        <v>206</v>
      </c>
      <c r="C252" s="19"/>
      <c r="D252" s="28"/>
      <c r="E252" s="15"/>
      <c r="F252" s="14">
        <f t="shared" si="3"/>
        <v>-395040</v>
      </c>
      <c r="G252" s="16"/>
    </row>
    <row r="253" spans="1:7" ht="21.75">
      <c r="A253" s="17"/>
      <c r="B253" s="18" t="s">
        <v>208</v>
      </c>
      <c r="C253" s="19"/>
      <c r="D253" s="28"/>
      <c r="E253" s="15"/>
      <c r="F253" s="14">
        <f t="shared" si="3"/>
        <v>-395040</v>
      </c>
      <c r="G253" s="16"/>
    </row>
    <row r="254" spans="1:7" ht="21.75">
      <c r="A254" s="17"/>
      <c r="B254" s="18" t="s">
        <v>209</v>
      </c>
      <c r="C254" s="19"/>
      <c r="D254" s="28"/>
      <c r="E254" s="15"/>
      <c r="F254" s="14">
        <f t="shared" si="3"/>
        <v>-395040</v>
      </c>
      <c r="G254" s="16"/>
    </row>
    <row r="255" spans="1:7" ht="21.75">
      <c r="A255" s="17"/>
      <c r="B255" s="18" t="s">
        <v>210</v>
      </c>
      <c r="C255" s="19"/>
      <c r="D255" s="28"/>
      <c r="E255" s="15"/>
      <c r="F255" s="14">
        <f t="shared" si="3"/>
        <v>-395040</v>
      </c>
      <c r="G255" s="16">
        <f>SUM(E248:E255)</f>
        <v>0</v>
      </c>
    </row>
    <row r="256" spans="1:7" ht="21.75">
      <c r="A256" s="17">
        <v>45290</v>
      </c>
      <c r="B256" s="11" t="s">
        <v>7</v>
      </c>
      <c r="C256" s="12"/>
      <c r="D256" s="28"/>
      <c r="E256" s="15"/>
      <c r="F256" s="14">
        <f t="shared" si="3"/>
        <v>-395040</v>
      </c>
      <c r="G256" s="16"/>
    </row>
    <row r="257" spans="1:7" ht="21.75">
      <c r="A257" s="17"/>
      <c r="B257" s="18" t="s">
        <v>72</v>
      </c>
      <c r="C257" s="19"/>
      <c r="D257" s="28"/>
      <c r="E257" s="15"/>
      <c r="F257" s="14">
        <f t="shared" si="3"/>
        <v>-395040</v>
      </c>
      <c r="G257" s="16"/>
    </row>
    <row r="258" spans="1:7" ht="21.75">
      <c r="A258" s="17"/>
      <c r="B258" s="18" t="s">
        <v>88</v>
      </c>
      <c r="C258" s="19"/>
      <c r="D258" s="28"/>
      <c r="E258" s="15"/>
      <c r="F258" s="14">
        <f t="shared" si="3"/>
        <v>-395040</v>
      </c>
      <c r="G258" s="16"/>
    </row>
    <row r="259" spans="1:7" ht="21.75">
      <c r="A259" s="17"/>
      <c r="B259" s="18" t="s">
        <v>76</v>
      </c>
      <c r="C259" s="19"/>
      <c r="D259" s="28"/>
      <c r="E259" s="15"/>
      <c r="F259" s="14">
        <f t="shared" si="3"/>
        <v>-395040</v>
      </c>
      <c r="G259" s="16"/>
    </row>
    <row r="260" spans="1:7" ht="21.75">
      <c r="A260" s="17"/>
      <c r="B260" s="18" t="s">
        <v>211</v>
      </c>
      <c r="C260" s="19"/>
      <c r="D260" s="28"/>
      <c r="E260" s="15"/>
      <c r="F260" s="14">
        <f t="shared" si="3"/>
        <v>-395040</v>
      </c>
      <c r="G260" s="16"/>
    </row>
    <row r="261" spans="1:7" ht="21.75">
      <c r="A261" s="17"/>
      <c r="B261" s="18" t="s">
        <v>213</v>
      </c>
      <c r="C261" s="19"/>
      <c r="D261" s="28"/>
      <c r="E261" s="15"/>
      <c r="F261" s="14">
        <f t="shared" si="3"/>
        <v>-395040</v>
      </c>
      <c r="G261" s="16"/>
    </row>
    <row r="262" spans="1:7" ht="21.75">
      <c r="A262" s="17"/>
      <c r="B262" s="18" t="s">
        <v>214</v>
      </c>
      <c r="C262" s="19"/>
      <c r="D262" s="28"/>
      <c r="E262" s="15"/>
      <c r="F262" s="14">
        <f t="shared" ref="F262:F275" si="4">+F261+C262-D262-E262</f>
        <v>-395040</v>
      </c>
      <c r="G262" s="16"/>
    </row>
    <row r="263" spans="1:7" ht="21.75">
      <c r="A263" s="17"/>
      <c r="B263" s="18" t="s">
        <v>215</v>
      </c>
      <c r="C263" s="19"/>
      <c r="D263" s="28"/>
      <c r="E263" s="15"/>
      <c r="F263" s="14">
        <f t="shared" si="4"/>
        <v>-395040</v>
      </c>
      <c r="G263" s="16">
        <f>SUM(E257:E263)</f>
        <v>0</v>
      </c>
    </row>
    <row r="264" spans="1:7" ht="21.75">
      <c r="A264" s="17">
        <v>45291</v>
      </c>
      <c r="B264" s="11" t="s">
        <v>7</v>
      </c>
      <c r="C264" s="12"/>
      <c r="D264" s="28"/>
      <c r="E264" s="15"/>
      <c r="F264" s="14">
        <f t="shared" si="4"/>
        <v>-395040</v>
      </c>
      <c r="G264" s="16"/>
    </row>
    <row r="265" spans="1:7" ht="21.75">
      <c r="A265" s="17"/>
      <c r="B265" s="18" t="s">
        <v>212</v>
      </c>
      <c r="C265" s="19"/>
      <c r="D265" s="28"/>
      <c r="E265" s="15"/>
      <c r="F265" s="14">
        <f t="shared" si="4"/>
        <v>-395040</v>
      </c>
      <c r="G265" s="16"/>
    </row>
    <row r="266" spans="1:7" ht="21.75">
      <c r="A266" s="17"/>
      <c r="B266" s="18" t="s">
        <v>216</v>
      </c>
      <c r="C266" s="19"/>
      <c r="D266" s="28"/>
      <c r="E266" s="15"/>
      <c r="F266" s="14">
        <f t="shared" si="4"/>
        <v>-395040</v>
      </c>
      <c r="G266" s="16"/>
    </row>
    <row r="267" spans="1:7" ht="21.75">
      <c r="A267" s="17"/>
      <c r="B267" s="18" t="s">
        <v>217</v>
      </c>
      <c r="C267" s="19"/>
      <c r="D267" s="28"/>
      <c r="E267" s="15"/>
      <c r="F267" s="14">
        <f t="shared" si="4"/>
        <v>-395040</v>
      </c>
      <c r="G267" s="16"/>
    </row>
    <row r="268" spans="1:7" ht="21.75">
      <c r="A268" s="17"/>
      <c r="B268" s="18" t="s">
        <v>218</v>
      </c>
      <c r="C268" s="19"/>
      <c r="D268" s="28"/>
      <c r="E268" s="15"/>
      <c r="F268" s="14">
        <f t="shared" si="4"/>
        <v>-395040</v>
      </c>
      <c r="G268" s="16"/>
    </row>
    <row r="269" spans="1:7" ht="21.75">
      <c r="A269" s="17"/>
      <c r="B269" s="18" t="s">
        <v>219</v>
      </c>
      <c r="C269" s="19"/>
      <c r="D269" s="28"/>
      <c r="E269" s="15"/>
      <c r="F269" s="14">
        <f t="shared" si="4"/>
        <v>-395040</v>
      </c>
      <c r="G269" s="16"/>
    </row>
    <row r="270" spans="1:7" ht="21.75">
      <c r="A270" s="17"/>
      <c r="B270" s="18" t="s">
        <v>220</v>
      </c>
      <c r="C270" s="19"/>
      <c r="D270" s="28"/>
      <c r="E270" s="15"/>
      <c r="F270" s="14">
        <f t="shared" si="4"/>
        <v>-395040</v>
      </c>
      <c r="G270" s="16"/>
    </row>
    <row r="271" spans="1:7" ht="21.75">
      <c r="A271" s="17"/>
      <c r="B271" s="18" t="s">
        <v>221</v>
      </c>
      <c r="C271" s="19"/>
      <c r="D271" s="28"/>
      <c r="E271" s="15"/>
      <c r="F271" s="14">
        <f t="shared" si="4"/>
        <v>-395040</v>
      </c>
      <c r="G271" s="16"/>
    </row>
    <row r="272" spans="1:7" ht="21.75">
      <c r="A272" s="17"/>
      <c r="B272" s="18" t="s">
        <v>222</v>
      </c>
      <c r="C272" s="19"/>
      <c r="D272" s="28"/>
      <c r="E272" s="15"/>
      <c r="F272" s="14">
        <f t="shared" si="4"/>
        <v>-395040</v>
      </c>
      <c r="G272" s="16">
        <f>SUM(E265:E272)</f>
        <v>0</v>
      </c>
    </row>
    <row r="273" spans="1:7" ht="21.75">
      <c r="A273" s="17">
        <v>45292</v>
      </c>
      <c r="B273" s="18"/>
      <c r="C273" s="19"/>
      <c r="D273" s="28"/>
      <c r="E273" s="15"/>
      <c r="F273" s="14"/>
      <c r="G273" s="16"/>
    </row>
    <row r="274" spans="1:7" ht="21.75">
      <c r="A274" s="17"/>
      <c r="B274" s="18"/>
      <c r="C274" s="19"/>
      <c r="D274" s="28"/>
      <c r="E274" s="15"/>
      <c r="F274" s="14">
        <f>+F272+C274-D274-E274</f>
        <v>-395040</v>
      </c>
      <c r="G274" s="16"/>
    </row>
    <row r="275" spans="1:7" ht="20.25" thickBot="1">
      <c r="A275" s="17"/>
      <c r="B275" s="11"/>
      <c r="C275" s="20"/>
      <c r="D275" s="29"/>
      <c r="E275" s="21"/>
      <c r="F275" s="14">
        <f t="shared" si="4"/>
        <v>-395040</v>
      </c>
      <c r="G275" s="4"/>
    </row>
    <row r="276" spans="1:7" ht="21.75" thickTop="1" thickBot="1">
      <c r="A276" s="22"/>
      <c r="B276" s="23"/>
      <c r="C276" s="24">
        <f>SUM(C4:C275)</f>
        <v>280160</v>
      </c>
      <c r="D276" s="24">
        <f>SUM(D4:D275)</f>
        <v>500000</v>
      </c>
      <c r="E276" s="25">
        <f>SUM(E4:E275)</f>
        <v>175200</v>
      </c>
      <c r="F276" s="25">
        <f>+F275</f>
        <v>-395040</v>
      </c>
      <c r="G276" s="4"/>
    </row>
    <row r="277" spans="1:7" ht="15.7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</vt:lpstr>
      <vt:lpstr>DEC</vt:lpstr>
      <vt:lpstr>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2023-12-04T12:07:27Z</dcterms:created>
  <dcterms:modified xsi:type="dcterms:W3CDTF">2024-01-03T08:58:22Z</dcterms:modified>
</cp:coreProperties>
</file>