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NAGER\Documents\Accounts\"/>
    </mc:Choice>
  </mc:AlternateContent>
  <bookViews>
    <workbookView xWindow="0" yWindow="0" windowWidth="15525" windowHeight="11505" firstSheet="31" activeTab="37"/>
  </bookViews>
  <sheets>
    <sheet name="Sheet1" sheetId="14" r:id="rId1"/>
    <sheet name="Petty Cash" sheetId="2" r:id="rId2"/>
    <sheet name="Sheet5" sheetId="53" r:id="rId3"/>
    <sheet name="Sheet3" sheetId="46" r:id="rId4"/>
    <sheet name="Sheet2" sheetId="40" r:id="rId5"/>
    <sheet name="Sheet4" sheetId="41" r:id="rId6"/>
    <sheet name="1st" sheetId="19" r:id="rId7"/>
    <sheet name="2nd" sheetId="20" r:id="rId8"/>
    <sheet name="3th" sheetId="26" r:id="rId9"/>
    <sheet name="4th" sheetId="27" r:id="rId10"/>
    <sheet name="5th" sheetId="28" r:id="rId11"/>
    <sheet name="6th" sheetId="29" r:id="rId12"/>
    <sheet name="7th" sheetId="30" r:id="rId13"/>
    <sheet name="8th" sheetId="31" r:id="rId14"/>
    <sheet name="9th" sheetId="32" r:id="rId15"/>
    <sheet name="10th" sheetId="33" r:id="rId16"/>
    <sheet name="11th" sheetId="34" r:id="rId17"/>
    <sheet name="12TH" sheetId="35" r:id="rId18"/>
    <sheet name="13th" sheetId="36" r:id="rId19"/>
    <sheet name="14TH" sheetId="37" r:id="rId20"/>
    <sheet name="15th" sheetId="38" r:id="rId21"/>
    <sheet name="16th" sheetId="39" r:id="rId22"/>
    <sheet name="17th" sheetId="42" r:id="rId23"/>
    <sheet name="18th" sheetId="43" r:id="rId24"/>
    <sheet name="19th" sheetId="44" r:id="rId25"/>
    <sheet name="20th" sheetId="45" r:id="rId26"/>
    <sheet name="21st" sheetId="47" r:id="rId27"/>
    <sheet name="22nd" sheetId="48" r:id="rId28"/>
    <sheet name="23th" sheetId="49" r:id="rId29"/>
    <sheet name="24th" sheetId="51" r:id="rId30"/>
    <sheet name="25th" sheetId="50" r:id="rId31"/>
    <sheet name="26TH" sheetId="52" r:id="rId32"/>
    <sheet name="27th" sheetId="54" r:id="rId33"/>
    <sheet name="28th" sheetId="56" r:id="rId34"/>
    <sheet name="Shortage" sheetId="55" r:id="rId35"/>
    <sheet name="29th" sheetId="57" r:id="rId36"/>
    <sheet name="30TH" sheetId="58" r:id="rId37"/>
    <sheet name="31th" sheetId="59" r:id="rId38"/>
  </sheets>
  <definedNames>
    <definedName name="_xlnm.Print_Area" localSheetId="1">'Petty Cash'!#REF!</definedName>
  </definedNames>
  <calcPr calcId="162913"/>
</workbook>
</file>

<file path=xl/calcChain.xml><?xml version="1.0" encoding="utf-8"?>
<calcChain xmlns="http://schemas.openxmlformats.org/spreadsheetml/2006/main">
  <c r="L34" i="59" l="1"/>
  <c r="L33" i="59"/>
  <c r="F199" i="2" l="1"/>
  <c r="F200" i="2"/>
  <c r="F201" i="2" s="1"/>
  <c r="F202" i="2" s="1"/>
  <c r="F203" i="2" s="1"/>
  <c r="F204" i="2" s="1"/>
  <c r="F205" i="2" s="1"/>
  <c r="F206" i="2" s="1"/>
  <c r="F207" i="2" s="1"/>
  <c r="F208" i="2" s="1"/>
  <c r="F209" i="2" s="1"/>
  <c r="F210" i="2" s="1"/>
  <c r="F211" i="2" s="1"/>
  <c r="F212" i="2" s="1"/>
  <c r="F213" i="2" s="1"/>
  <c r="F214" i="2" s="1"/>
  <c r="F215" i="2" s="1"/>
  <c r="F216" i="2" s="1"/>
  <c r="F217" i="2" s="1"/>
  <c r="F218" i="2" s="1"/>
  <c r="L26" i="59" l="1"/>
  <c r="L30" i="59" s="1"/>
  <c r="H25" i="59"/>
  <c r="G25" i="59"/>
  <c r="F25" i="59"/>
  <c r="H26" i="59" s="1"/>
  <c r="H28" i="59" s="1"/>
  <c r="D25" i="59"/>
  <c r="C25" i="59"/>
  <c r="D26" i="59" s="1"/>
  <c r="B25" i="59"/>
  <c r="J22" i="59"/>
  <c r="L26" i="58"/>
  <c r="L30" i="58" s="1"/>
  <c r="L32" i="58" s="1"/>
  <c r="H25" i="58"/>
  <c r="G25" i="58"/>
  <c r="F25" i="58"/>
  <c r="H26" i="58" s="1"/>
  <c r="H28" i="58" s="1"/>
  <c r="D25" i="58"/>
  <c r="C25" i="58"/>
  <c r="B25" i="58"/>
  <c r="D26" i="58" s="1"/>
  <c r="J22" i="58"/>
  <c r="I25" i="59" l="1"/>
  <c r="M26" i="59" s="1"/>
  <c r="M30" i="59" s="1"/>
  <c r="M34" i="59" s="1"/>
  <c r="D28" i="59"/>
  <c r="I25" i="58"/>
  <c r="M26" i="58" s="1"/>
  <c r="M30" i="58" s="1"/>
  <c r="M32" i="58" s="1"/>
  <c r="D28" i="58"/>
  <c r="L26" i="57"/>
  <c r="L30" i="57" s="1"/>
  <c r="L32" i="57" s="1"/>
  <c r="H25" i="57"/>
  <c r="G25" i="57"/>
  <c r="F25" i="57"/>
  <c r="H26" i="57" s="1"/>
  <c r="H28" i="57" s="1"/>
  <c r="D25" i="57"/>
  <c r="C25" i="57"/>
  <c r="D26" i="57" s="1"/>
  <c r="B25" i="57"/>
  <c r="J22" i="57"/>
  <c r="I25" i="57" l="1"/>
  <c r="M26" i="57" s="1"/>
  <c r="M30" i="57" s="1"/>
  <c r="M32" i="57" s="1"/>
  <c r="D28" i="57"/>
  <c r="J22" i="56" l="1"/>
  <c r="L26" i="56"/>
  <c r="L30" i="56" s="1"/>
  <c r="L32" i="56" s="1"/>
  <c r="H25" i="56"/>
  <c r="G25" i="56"/>
  <c r="H26" i="56" s="1"/>
  <c r="H28" i="56" s="1"/>
  <c r="F25" i="56"/>
  <c r="D25" i="56"/>
  <c r="C25" i="56"/>
  <c r="B25" i="56"/>
  <c r="D26" i="56" s="1"/>
  <c r="E38" i="55"/>
  <c r="E37" i="55"/>
  <c r="H38" i="55"/>
  <c r="I38" i="55"/>
  <c r="J38" i="55"/>
  <c r="K38" i="55"/>
  <c r="G38" i="55"/>
  <c r="D37" i="55"/>
  <c r="N36" i="55"/>
  <c r="M36" i="55"/>
  <c r="L36" i="55"/>
  <c r="K36" i="55"/>
  <c r="J36" i="55"/>
  <c r="I36" i="55"/>
  <c r="H36" i="55"/>
  <c r="G36" i="55"/>
  <c r="D28" i="56" l="1"/>
  <c r="I25" i="56"/>
  <c r="M26" i="56" s="1"/>
  <c r="M30" i="56" s="1"/>
  <c r="M32" i="56" s="1"/>
  <c r="E36" i="55"/>
  <c r="B5" i="55"/>
  <c r="B6" i="55" s="1"/>
  <c r="B7" i="55" s="1"/>
  <c r="B4" i="55"/>
  <c r="D36" i="55"/>
  <c r="C36" i="55"/>
  <c r="L28" i="54"/>
  <c r="L31" i="54"/>
  <c r="B8" i="55" l="1"/>
  <c r="B9" i="55" s="1"/>
  <c r="B10" i="55" s="1"/>
  <c r="B11" i="55" s="1"/>
  <c r="B12" i="55" s="1"/>
  <c r="B13" i="55" s="1"/>
  <c r="B14" i="55" s="1"/>
  <c r="B15" i="55" s="1"/>
  <c r="B16" i="55" s="1"/>
  <c r="B17" i="55" s="1"/>
  <c r="B18" i="55" s="1"/>
  <c r="B19" i="55" s="1"/>
  <c r="B20" i="55" s="1"/>
  <c r="B21" i="55" s="1"/>
  <c r="B22" i="55" s="1"/>
  <c r="B23" i="55" s="1"/>
  <c r="B24" i="55" s="1"/>
  <c r="B25" i="55" s="1"/>
  <c r="B26" i="55" s="1"/>
  <c r="B27" i="55" s="1"/>
  <c r="B28" i="55" s="1"/>
  <c r="B29" i="55" s="1"/>
  <c r="B30" i="55" s="1"/>
  <c r="B31" i="55" s="1"/>
  <c r="B32" i="55" s="1"/>
  <c r="B33" i="55" s="1"/>
  <c r="L26" i="54"/>
  <c r="L30" i="54" s="1"/>
  <c r="L32" i="54" s="1"/>
  <c r="H25" i="54"/>
  <c r="G25" i="54"/>
  <c r="F25" i="54"/>
  <c r="H26" i="54" s="1"/>
  <c r="H28" i="54" s="1"/>
  <c r="D25" i="54"/>
  <c r="C25" i="54"/>
  <c r="B25" i="54"/>
  <c r="D26" i="54" s="1"/>
  <c r="J22" i="54"/>
  <c r="D28" i="54" l="1"/>
  <c r="I25" i="54"/>
  <c r="M26" i="54" s="1"/>
  <c r="M30" i="54" s="1"/>
  <c r="M32" i="54" s="1"/>
  <c r="L28" i="52"/>
  <c r="L26" i="52"/>
  <c r="L30" i="52" s="1"/>
  <c r="L32" i="52" s="1"/>
  <c r="H25" i="52"/>
  <c r="G25" i="52"/>
  <c r="F25" i="52"/>
  <c r="H26" i="52" s="1"/>
  <c r="H28" i="52" s="1"/>
  <c r="D25" i="52"/>
  <c r="C25" i="52"/>
  <c r="D26" i="52" s="1"/>
  <c r="B25" i="52"/>
  <c r="J22" i="52"/>
  <c r="L28" i="50"/>
  <c r="I25" i="52" l="1"/>
  <c r="M26" i="52" s="1"/>
  <c r="M30" i="52" s="1"/>
  <c r="M32" i="52" s="1"/>
  <c r="D28" i="52"/>
  <c r="L26" i="50"/>
  <c r="L30" i="50" s="1"/>
  <c r="L32" i="50" s="1"/>
  <c r="H25" i="50"/>
  <c r="G25" i="50"/>
  <c r="F25" i="50"/>
  <c r="H26" i="50" s="1"/>
  <c r="H28" i="50" s="1"/>
  <c r="D25" i="50"/>
  <c r="C25" i="50"/>
  <c r="D26" i="50" s="1"/>
  <c r="B25" i="50"/>
  <c r="J22" i="50"/>
  <c r="I25" i="50" l="1"/>
  <c r="M26" i="50" s="1"/>
  <c r="M30" i="50" s="1"/>
  <c r="M32" i="50" s="1"/>
  <c r="D28" i="50"/>
  <c r="N10" i="49"/>
  <c r="F19" i="49"/>
  <c r="L19" i="49"/>
  <c r="L16" i="49"/>
  <c r="J10" i="51" l="1"/>
  <c r="B13" i="51"/>
  <c r="C13" i="51"/>
  <c r="D13" i="51"/>
  <c r="F13" i="51"/>
  <c r="G13" i="51"/>
  <c r="H13" i="51"/>
  <c r="D14" i="51"/>
  <c r="I13" i="51" s="1"/>
  <c r="M14" i="51" s="1"/>
  <c r="M18" i="51" s="1"/>
  <c r="M20" i="51" s="1"/>
  <c r="H14" i="51"/>
  <c r="H16" i="51" s="1"/>
  <c r="L14" i="51"/>
  <c r="L18" i="51"/>
  <c r="L20" i="51"/>
  <c r="J10" i="49" l="1"/>
  <c r="B13" i="49"/>
  <c r="C13" i="49"/>
  <c r="D13" i="49"/>
  <c r="F13" i="49"/>
  <c r="G13" i="49"/>
  <c r="H14" i="49" s="1"/>
  <c r="H16" i="49" s="1"/>
  <c r="H13" i="49"/>
  <c r="L14" i="49"/>
  <c r="L18" i="49"/>
  <c r="L20" i="49" s="1"/>
  <c r="J10" i="48"/>
  <c r="B13" i="48"/>
  <c r="C13" i="48"/>
  <c r="D14" i="48" s="1"/>
  <c r="D13" i="48"/>
  <c r="F13" i="48"/>
  <c r="G13" i="48"/>
  <c r="H13" i="48"/>
  <c r="L14" i="48"/>
  <c r="L18" i="48"/>
  <c r="L20" i="48" s="1"/>
  <c r="J22" i="47"/>
  <c r="B25" i="47"/>
  <c r="C25" i="47"/>
  <c r="D26" i="47" s="1"/>
  <c r="D25" i="47"/>
  <c r="F25" i="47"/>
  <c r="G25" i="47"/>
  <c r="H25" i="47"/>
  <c r="L26" i="47"/>
  <c r="L30" i="47"/>
  <c r="L32" i="47" s="1"/>
  <c r="J22" i="45"/>
  <c r="B25" i="45"/>
  <c r="C25" i="45"/>
  <c r="D26" i="45" s="1"/>
  <c r="D25" i="45"/>
  <c r="F25" i="45"/>
  <c r="G25" i="45"/>
  <c r="H25" i="45"/>
  <c r="L26" i="45"/>
  <c r="L30" i="45"/>
  <c r="L32" i="45" s="1"/>
  <c r="J22" i="44"/>
  <c r="B25" i="44"/>
  <c r="C25" i="44"/>
  <c r="D26" i="44" s="1"/>
  <c r="D25" i="44"/>
  <c r="F25" i="44"/>
  <c r="G25" i="44"/>
  <c r="H25" i="44"/>
  <c r="L26" i="44"/>
  <c r="L30" i="44"/>
  <c r="L32" i="44" s="1"/>
  <c r="J22" i="43"/>
  <c r="B25" i="43"/>
  <c r="C25" i="43"/>
  <c r="D26" i="43" s="1"/>
  <c r="D25" i="43"/>
  <c r="F25" i="43"/>
  <c r="G25" i="43"/>
  <c r="H25" i="43"/>
  <c r="L26" i="43"/>
  <c r="L30" i="43"/>
  <c r="L32" i="43" s="1"/>
  <c r="J22" i="42"/>
  <c r="B25" i="42"/>
  <c r="C25" i="42"/>
  <c r="D26" i="42" s="1"/>
  <c r="D25" i="42"/>
  <c r="F25" i="42"/>
  <c r="G25" i="42"/>
  <c r="H25" i="42"/>
  <c r="L26" i="42"/>
  <c r="L30" i="42"/>
  <c r="L32" i="42" s="1"/>
  <c r="J22" i="39"/>
  <c r="B25" i="39"/>
  <c r="C25" i="39"/>
  <c r="D26" i="39" s="1"/>
  <c r="D25" i="39"/>
  <c r="F25" i="39"/>
  <c r="G25" i="39"/>
  <c r="H25" i="39"/>
  <c r="L26" i="39"/>
  <c r="L27" i="39"/>
  <c r="L28" i="39"/>
  <c r="L30" i="39"/>
  <c r="L32" i="39" s="1"/>
  <c r="J22" i="38"/>
  <c r="B25" i="38"/>
  <c r="C25" i="38"/>
  <c r="D26" i="38" s="1"/>
  <c r="D25" i="38"/>
  <c r="F25" i="38"/>
  <c r="G25" i="38"/>
  <c r="H25" i="38"/>
  <c r="D28" i="38"/>
  <c r="L29" i="38"/>
  <c r="L31" i="38" s="1"/>
  <c r="J22" i="37"/>
  <c r="B25" i="37"/>
  <c r="C25" i="37"/>
  <c r="D26" i="37" s="1"/>
  <c r="D25" i="37"/>
  <c r="F25" i="37"/>
  <c r="H26" i="37" s="1"/>
  <c r="H28" i="37" s="1"/>
  <c r="G25" i="37"/>
  <c r="H25" i="37"/>
  <c r="L26" i="37"/>
  <c r="L29" i="37" s="1"/>
  <c r="L31" i="37"/>
  <c r="J22" i="36"/>
  <c r="B25" i="36"/>
  <c r="D26" i="36" s="1"/>
  <c r="D28" i="36" s="1"/>
  <c r="C25" i="36"/>
  <c r="D25" i="36"/>
  <c r="F25" i="36"/>
  <c r="G25" i="36"/>
  <c r="H26" i="36" s="1"/>
  <c r="H28" i="36" s="1"/>
  <c r="H25" i="36"/>
  <c r="L26" i="36"/>
  <c r="L29" i="36"/>
  <c r="L31" i="36" s="1"/>
  <c r="J22" i="35"/>
  <c r="B25" i="35"/>
  <c r="C25" i="35"/>
  <c r="D25" i="35"/>
  <c r="F25" i="35"/>
  <c r="G25" i="35"/>
  <c r="H25" i="35"/>
  <c r="D26" i="35"/>
  <c r="L26" i="35"/>
  <c r="L29" i="35" s="1"/>
  <c r="L31" i="35"/>
  <c r="J22" i="34"/>
  <c r="B25" i="34"/>
  <c r="C25" i="34"/>
  <c r="D25" i="34"/>
  <c r="F25" i="34"/>
  <c r="G25" i="34"/>
  <c r="H25" i="34"/>
  <c r="J25" i="34"/>
  <c r="H26" i="34"/>
  <c r="H28" i="34" s="1"/>
  <c r="J22" i="33"/>
  <c r="B25" i="33"/>
  <c r="C25" i="33"/>
  <c r="D25" i="33"/>
  <c r="F25" i="33"/>
  <c r="G25" i="33"/>
  <c r="H26" i="33" s="1"/>
  <c r="H28" i="33" s="1"/>
  <c r="H25" i="33"/>
  <c r="J22" i="32"/>
  <c r="B25" i="32"/>
  <c r="C25" i="32"/>
  <c r="D25" i="32"/>
  <c r="F25" i="32"/>
  <c r="G25" i="32"/>
  <c r="H25" i="32"/>
  <c r="J25" i="32"/>
  <c r="D26" i="32"/>
  <c r="J22" i="31"/>
  <c r="B25" i="31"/>
  <c r="C25" i="31"/>
  <c r="D25" i="31"/>
  <c r="F25" i="31"/>
  <c r="G25" i="31"/>
  <c r="H25" i="31"/>
  <c r="J25" i="31"/>
  <c r="D26" i="31"/>
  <c r="J22" i="30"/>
  <c r="B25" i="30"/>
  <c r="C25" i="30"/>
  <c r="D26" i="30" s="1"/>
  <c r="D25" i="30"/>
  <c r="F25" i="30"/>
  <c r="G25" i="30"/>
  <c r="H25" i="30"/>
  <c r="J25" i="30"/>
  <c r="K25" i="30"/>
  <c r="H26" i="30"/>
  <c r="D27" i="30"/>
  <c r="H27" i="30"/>
  <c r="J22" i="29"/>
  <c r="B25" i="29"/>
  <c r="C25" i="29"/>
  <c r="D25" i="29"/>
  <c r="F25" i="29"/>
  <c r="G25" i="29"/>
  <c r="H26" i="29" s="1"/>
  <c r="H28" i="29" s="1"/>
  <c r="H25" i="29"/>
  <c r="J25" i="29"/>
  <c r="J22" i="28"/>
  <c r="B25" i="28"/>
  <c r="C25" i="28"/>
  <c r="D26" i="28" s="1"/>
  <c r="D25" i="28"/>
  <c r="F25" i="28"/>
  <c r="G25" i="28"/>
  <c r="H25" i="28"/>
  <c r="H26" i="28"/>
  <c r="H28" i="28" s="1"/>
  <c r="D28" i="28"/>
  <c r="J21" i="27"/>
  <c r="B24" i="27"/>
  <c r="C24" i="27"/>
  <c r="D24" i="27"/>
  <c r="F24" i="27"/>
  <c r="G24" i="27"/>
  <c r="H24" i="27"/>
  <c r="J24" i="27"/>
  <c r="H25" i="27"/>
  <c r="H27" i="27" s="1"/>
  <c r="J21" i="26"/>
  <c r="B24" i="26"/>
  <c r="D25" i="26" s="1"/>
  <c r="C24" i="26"/>
  <c r="D24" i="26"/>
  <c r="F24" i="26"/>
  <c r="G24" i="26"/>
  <c r="H25" i="26" s="1"/>
  <c r="H27" i="26" s="1"/>
  <c r="H24" i="26"/>
  <c r="J18" i="20"/>
  <c r="B24" i="20"/>
  <c r="C24" i="20"/>
  <c r="D24" i="20"/>
  <c r="F24" i="20"/>
  <c r="H25" i="20" s="1"/>
  <c r="G24" i="20"/>
  <c r="H24" i="20"/>
  <c r="J24" i="20"/>
  <c r="D25" i="20"/>
  <c r="H27" i="20"/>
  <c r="K30" i="20"/>
  <c r="I32" i="20"/>
  <c r="I33" i="20"/>
  <c r="I34" i="20"/>
  <c r="I35" i="20"/>
  <c r="I36" i="20"/>
  <c r="I37" i="20"/>
  <c r="I38" i="20"/>
  <c r="I39" i="20"/>
  <c r="I40" i="20"/>
  <c r="I41" i="20"/>
  <c r="I42" i="20"/>
  <c r="I43" i="20"/>
  <c r="I44" i="20"/>
  <c r="I45" i="20"/>
  <c r="K45" i="20"/>
  <c r="I46" i="20"/>
  <c r="L24" i="19"/>
  <c r="J29" i="19"/>
  <c r="B35" i="19"/>
  <c r="C35" i="19"/>
  <c r="D35" i="19"/>
  <c r="F35" i="19"/>
  <c r="G35" i="19"/>
  <c r="H35" i="19"/>
  <c r="J35" i="19"/>
  <c r="D36" i="19"/>
  <c r="D37" i="19"/>
  <c r="H37" i="19"/>
  <c r="I43" i="19"/>
  <c r="I44" i="19"/>
  <c r="I45" i="19"/>
  <c r="I46" i="19"/>
  <c r="I47" i="19"/>
  <c r="I48" i="19"/>
  <c r="I49" i="19"/>
  <c r="I50" i="19"/>
  <c r="I51" i="19"/>
  <c r="I52" i="19"/>
  <c r="I53" i="19"/>
  <c r="I54" i="19"/>
  <c r="I55" i="19"/>
  <c r="I56" i="19"/>
  <c r="K56" i="19"/>
  <c r="F5" i="2"/>
  <c r="C6" i="2"/>
  <c r="F6" i="2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C25" i="2"/>
  <c r="C28" i="2"/>
  <c r="C49" i="2"/>
  <c r="D2" i="14"/>
  <c r="D3" i="14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F35" i="2" l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F123" i="2" s="1"/>
  <c r="F124" i="2" s="1"/>
  <c r="F125" i="2" s="1"/>
  <c r="F126" i="2" s="1"/>
  <c r="F127" i="2" s="1"/>
  <c r="F128" i="2" s="1"/>
  <c r="F129" i="2" s="1"/>
  <c r="F130" i="2" s="1"/>
  <c r="F131" i="2" s="1"/>
  <c r="F34" i="2"/>
  <c r="D27" i="26"/>
  <c r="I24" i="26"/>
  <c r="L24" i="26" s="1"/>
  <c r="L26" i="26" s="1"/>
  <c r="L28" i="26" s="1"/>
  <c r="I57" i="19"/>
  <c r="D28" i="35"/>
  <c r="D28" i="43"/>
  <c r="D28" i="45"/>
  <c r="D16" i="48"/>
  <c r="I24" i="20"/>
  <c r="L24" i="20" s="1"/>
  <c r="L26" i="20" s="1"/>
  <c r="L28" i="20" s="1"/>
  <c r="D27" i="20"/>
  <c r="H28" i="30"/>
  <c r="I25" i="36"/>
  <c r="I25" i="37"/>
  <c r="D28" i="37"/>
  <c r="D28" i="39"/>
  <c r="D38" i="19"/>
  <c r="H36" i="19"/>
  <c r="H38" i="19" s="1"/>
  <c r="D25" i="27"/>
  <c r="I25" i="28"/>
  <c r="L25" i="28" s="1"/>
  <c r="L27" i="28" s="1"/>
  <c r="L29" i="28" s="1"/>
  <c r="D26" i="29"/>
  <c r="I25" i="30"/>
  <c r="L25" i="30" s="1"/>
  <c r="L27" i="30" s="1"/>
  <c r="L29" i="30" s="1"/>
  <c r="D28" i="30"/>
  <c r="D28" i="32"/>
  <c r="H26" i="32"/>
  <c r="H28" i="32" s="1"/>
  <c r="D26" i="33"/>
  <c r="D28" i="42"/>
  <c r="D28" i="44"/>
  <c r="D28" i="47"/>
  <c r="H26" i="38"/>
  <c r="H28" i="38" s="1"/>
  <c r="H26" i="39"/>
  <c r="H28" i="39" s="1"/>
  <c r="H26" i="42"/>
  <c r="H28" i="42" s="1"/>
  <c r="H26" i="43"/>
  <c r="H28" i="43" s="1"/>
  <c r="H26" i="44"/>
  <c r="H28" i="44" s="1"/>
  <c r="H26" i="45"/>
  <c r="H28" i="45" s="1"/>
  <c r="H26" i="47"/>
  <c r="H28" i="47" s="1"/>
  <c r="H14" i="48"/>
  <c r="H16" i="48" s="1"/>
  <c r="D14" i="49"/>
  <c r="I13" i="49" s="1"/>
  <c r="M14" i="49" s="1"/>
  <c r="M18" i="49" s="1"/>
  <c r="M20" i="49" s="1"/>
  <c r="D28" i="31"/>
  <c r="H26" i="31"/>
  <c r="H28" i="31" s="1"/>
  <c r="D26" i="34"/>
  <c r="H26" i="35"/>
  <c r="H28" i="35" s="1"/>
  <c r="I25" i="34" l="1"/>
  <c r="L25" i="34" s="1"/>
  <c r="L27" i="34" s="1"/>
  <c r="L29" i="34" s="1"/>
  <c r="D28" i="34"/>
  <c r="I25" i="47"/>
  <c r="M26" i="47" s="1"/>
  <c r="M30" i="47" s="1"/>
  <c r="M32" i="47" s="1"/>
  <c r="I25" i="44"/>
  <c r="M26" i="44" s="1"/>
  <c r="M30" i="44" s="1"/>
  <c r="M32" i="44" s="1"/>
  <c r="I25" i="42"/>
  <c r="M26" i="42" s="1"/>
  <c r="M30" i="42" s="1"/>
  <c r="M32" i="42" s="1"/>
  <c r="D28" i="33"/>
  <c r="I25" i="33"/>
  <c r="L25" i="33" s="1"/>
  <c r="L27" i="33" s="1"/>
  <c r="L29" i="33" s="1"/>
  <c r="I25" i="29"/>
  <c r="L25" i="29" s="1"/>
  <c r="L27" i="29" s="1"/>
  <c r="L29" i="29" s="1"/>
  <c r="D28" i="29"/>
  <c r="I24" i="27"/>
  <c r="L24" i="27" s="1"/>
  <c r="L26" i="27" s="1"/>
  <c r="L28" i="27" s="1"/>
  <c r="D27" i="27"/>
  <c r="I25" i="31"/>
  <c r="L25" i="31" s="1"/>
  <c r="L27" i="31" s="1"/>
  <c r="L29" i="31" s="1"/>
  <c r="I25" i="38"/>
  <c r="I25" i="32"/>
  <c r="L25" i="32" s="1"/>
  <c r="L27" i="32" s="1"/>
  <c r="L29" i="32" s="1"/>
  <c r="I35" i="19"/>
  <c r="L35" i="19" s="1"/>
  <c r="L37" i="19" s="1"/>
  <c r="L39" i="19" s="1"/>
  <c r="I25" i="39"/>
  <c r="M26" i="39" s="1"/>
  <c r="M30" i="39" s="1"/>
  <c r="M32" i="39" s="1"/>
  <c r="I13" i="48"/>
  <c r="M14" i="48" s="1"/>
  <c r="M18" i="48" s="1"/>
  <c r="M20" i="48" s="1"/>
  <c r="I25" i="45"/>
  <c r="M26" i="45" s="1"/>
  <c r="M30" i="45" s="1"/>
  <c r="M32" i="45" s="1"/>
  <c r="I25" i="43"/>
  <c r="M26" i="43" s="1"/>
  <c r="M30" i="43" s="1"/>
  <c r="M32" i="43" s="1"/>
  <c r="I25" i="35"/>
  <c r="F132" i="2"/>
  <c r="F133" i="2" s="1"/>
  <c r="F134" i="2" s="1"/>
  <c r="F135" i="2" s="1"/>
  <c r="F136" i="2" s="1"/>
  <c r="F137" i="2" s="1"/>
  <c r="F138" i="2" s="1"/>
  <c r="F139" i="2" s="1"/>
  <c r="F140" i="2" s="1"/>
  <c r="F141" i="2" s="1"/>
  <c r="F142" i="2" s="1"/>
  <c r="F143" i="2" s="1"/>
  <c r="F144" i="2" s="1"/>
  <c r="F145" i="2" s="1"/>
  <c r="F146" i="2" s="1"/>
  <c r="F147" i="2" s="1"/>
  <c r="F148" i="2" s="1"/>
  <c r="F149" i="2" s="1"/>
  <c r="F150" i="2" s="1"/>
  <c r="F151" i="2" s="1"/>
  <c r="F152" i="2" s="1"/>
  <c r="F153" i="2" s="1"/>
  <c r="F154" i="2" s="1"/>
  <c r="F155" i="2" s="1"/>
  <c r="F156" i="2" s="1"/>
  <c r="F157" i="2" s="1"/>
  <c r="F158" i="2" s="1"/>
  <c r="F159" i="2" s="1"/>
  <c r="F160" i="2" s="1"/>
  <c r="F161" i="2" s="1"/>
  <c r="F162" i="2" s="1"/>
  <c r="F163" i="2" s="1"/>
  <c r="F164" i="2" s="1"/>
  <c r="F165" i="2" s="1"/>
  <c r="F166" i="2" s="1"/>
  <c r="F167" i="2" s="1"/>
  <c r="F168" i="2" s="1"/>
  <c r="F169" i="2" s="1"/>
  <c r="F170" i="2" s="1"/>
  <c r="F171" i="2" s="1"/>
  <c r="F172" i="2" s="1"/>
  <c r="F173" i="2" s="1"/>
  <c r="F174" i="2" s="1"/>
  <c r="F175" i="2" s="1"/>
  <c r="F176" i="2" s="1"/>
  <c r="F177" i="2" s="1"/>
  <c r="F178" i="2" s="1"/>
  <c r="F179" i="2" s="1"/>
  <c r="F180" i="2" s="1"/>
  <c r="F181" i="2" s="1"/>
  <c r="F182" i="2" s="1"/>
  <c r="F183" i="2" s="1"/>
  <c r="F184" i="2" s="1"/>
  <c r="F185" i="2" s="1"/>
  <c r="F186" i="2" s="1"/>
  <c r="F187" i="2" s="1"/>
  <c r="F188" i="2" s="1"/>
  <c r="F189" i="2" s="1"/>
  <c r="F190" i="2" s="1"/>
  <c r="F191" i="2" s="1"/>
  <c r="F192" i="2" s="1"/>
  <c r="F193" i="2" s="1"/>
  <c r="F194" i="2" s="1"/>
  <c r="F195" i="2" s="1"/>
  <c r="F196" i="2" s="1"/>
  <c r="F197" i="2" s="1"/>
  <c r="F198" i="2" s="1"/>
  <c r="F233" i="2" s="1"/>
  <c r="F234" i="2" s="1"/>
  <c r="F235" i="2" s="1"/>
  <c r="F236" i="2" s="1"/>
  <c r="F238" i="2" s="1"/>
</calcChain>
</file>

<file path=xl/comments1.xml><?xml version="1.0" encoding="utf-8"?>
<comments xmlns="http://schemas.openxmlformats.org/spreadsheetml/2006/main">
  <authors>
    <author>MANAGER</author>
  </authors>
  <commentList>
    <comment ref="L19" authorId="0" shapeId="0">
      <text>
        <r>
          <rPr>
            <b/>
            <sz val="9"/>
            <color indexed="81"/>
            <rFont val="Tahoma"/>
            <charset val="1"/>
          </rPr>
          <t>MANAGER:</t>
        </r>
        <r>
          <rPr>
            <sz val="9"/>
            <color indexed="81"/>
            <rFont val="Tahoma"/>
            <charset val="1"/>
          </rPr>
          <t xml:space="preserve">
return of 2 Holladia yoghourt after punching it in the system -3200</t>
        </r>
      </text>
    </comment>
  </commentList>
</comments>
</file>

<file path=xl/comments2.xml><?xml version="1.0" encoding="utf-8"?>
<comments xmlns="http://schemas.openxmlformats.org/spreadsheetml/2006/main">
  <authors>
    <author>MANAGER</author>
  </authors>
  <commentList>
    <comment ref="L31" authorId="0" shapeId="0">
      <text>
        <r>
          <rPr>
            <b/>
            <sz val="9"/>
            <color indexed="81"/>
            <rFont val="Tahoma"/>
            <family val="2"/>
          </rPr>
          <t>MANAGER:</t>
        </r>
        <r>
          <rPr>
            <sz val="9"/>
            <color indexed="81"/>
            <rFont val="Tahoma"/>
            <family val="2"/>
          </rPr>
          <t xml:space="preserve">
2 SUPER ROLL GIVEN TO AUDITOR BUT MISTAKENLY PUNCH IT, INSTEAD OF PUTTING IT UNDER COMPLIMENTARY</t>
        </r>
      </text>
    </comment>
  </commentList>
</comments>
</file>

<file path=xl/sharedStrings.xml><?xml version="1.0" encoding="utf-8"?>
<sst xmlns="http://schemas.openxmlformats.org/spreadsheetml/2006/main" count="835" uniqueCount="277">
  <si>
    <t>cash</t>
  </si>
  <si>
    <t>card</t>
  </si>
  <si>
    <t>exp</t>
  </si>
  <si>
    <t>diff</t>
  </si>
  <si>
    <t>SYS SALES</t>
  </si>
  <si>
    <t>DIFF</t>
  </si>
  <si>
    <t>net diff</t>
  </si>
  <si>
    <t>K-LOUNGE KITCHEN &amp; PASTRY</t>
  </si>
  <si>
    <t>DATE</t>
  </si>
  <si>
    <t>DESCRIPTION</t>
  </si>
  <si>
    <t>AMT RECEIVD</t>
  </si>
  <si>
    <t>CASH DEPOSIT</t>
  </si>
  <si>
    <t>AMT DISBURSED</t>
  </si>
  <si>
    <t>Running Bal.</t>
  </si>
  <si>
    <t>CASH SALES</t>
  </si>
  <si>
    <t>Cash at hand</t>
  </si>
  <si>
    <t>Bal. B/F from feb 2024</t>
  </si>
  <si>
    <t>trf-POS</t>
  </si>
  <si>
    <t>EOD</t>
  </si>
  <si>
    <t>EOD DIFF</t>
  </si>
  <si>
    <t>SOAP</t>
  </si>
  <si>
    <t>credit</t>
  </si>
  <si>
    <t>TRANSPORT TO BRING CHICKEN/ SUPE</t>
  </si>
  <si>
    <t>PURCHASE OF WATER / SUPER</t>
  </si>
  <si>
    <t>PURCHASE OF CARD FOR POS</t>
  </si>
  <si>
    <t>R/CARD</t>
  </si>
  <si>
    <t>IMPRESS ACCOUNT FOR THE MONTH OF MARCH 2024</t>
  </si>
  <si>
    <t>UGU</t>
  </si>
  <si>
    <t>REJOICE</t>
  </si>
  <si>
    <t>GLO SIM</t>
  </si>
  <si>
    <t>AIRTEL SIM</t>
  </si>
  <si>
    <t>TRANS</t>
  </si>
  <si>
    <t>TRANS FOR GIFT</t>
  </si>
  <si>
    <t>TOMATOES</t>
  </si>
  <si>
    <t>TRANS TO BUY TAKE AWAY</t>
  </si>
  <si>
    <t>PAYMENT FOR FEBUARY WASTE</t>
  </si>
  <si>
    <t>WAYBILL BY SUPER</t>
  </si>
  <si>
    <t>PURCHASE OF RUBBER BIND BY GRACE</t>
  </si>
  <si>
    <t>PURCHASE RECHARGE CARD POS</t>
  </si>
  <si>
    <t>MIRACLE</t>
  </si>
  <si>
    <t>PURCH OF REDOIL</t>
  </si>
  <si>
    <t>TRANS FOR CARRYING DIESEL</t>
  </si>
  <si>
    <t xml:space="preserve">GRINDING OF 2 basket of TOMATOES </t>
  </si>
  <si>
    <t>puchase of water</t>
  </si>
  <si>
    <t>nylon for eba</t>
  </si>
  <si>
    <t>miracle</t>
  </si>
  <si>
    <t>market list by super</t>
  </si>
  <si>
    <t>PAYMENT CLEARING OF BUSH BY ADAMU</t>
  </si>
  <si>
    <t>TRANSPORT TO HOTEL</t>
  </si>
  <si>
    <t>market list by ESTHER</t>
  </si>
  <si>
    <t>FILLING OF 12.5 KG GAS CYLINDER.TFAR</t>
  </si>
  <si>
    <t>trf</t>
  </si>
  <si>
    <t>front office expenses</t>
  </si>
  <si>
    <t>preye</t>
  </si>
  <si>
    <t>transport to by super</t>
  </si>
  <si>
    <t>transport to carry cowleg to hotel</t>
  </si>
  <si>
    <t>iron sponge</t>
  </si>
  <si>
    <t>plantain</t>
  </si>
  <si>
    <t>REFUND OF SALARY TO EMA BARKERY STAFF</t>
  </si>
  <si>
    <t>TRANSPORT TO MARTIN TO CARY BREAD TO HOT</t>
  </si>
  <si>
    <t>PURCHASE OF SQUADRON/CAKEBOARD BY ESTHER</t>
  </si>
  <si>
    <t>market list by grace</t>
  </si>
  <si>
    <t>transport to miracle for traing cashier</t>
  </si>
  <si>
    <t>cash back to esther supervisor</t>
  </si>
  <si>
    <t>trans to hotel</t>
  </si>
  <si>
    <t>esther</t>
  </si>
  <si>
    <t xml:space="preserve">purchase of plantain </t>
  </si>
  <si>
    <t>debt paid by MR.Adamu</t>
  </si>
  <si>
    <t xml:space="preserve">purchase of water leave </t>
  </si>
  <si>
    <t>purchase of recharge card for pos</t>
  </si>
  <si>
    <t>purchase of starch</t>
  </si>
  <si>
    <t>extra cost on eba nylon</t>
  </si>
  <si>
    <t>transport to carry diesel from hotel to here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</si>
  <si>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</si>
  <si>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purchase of garri and transport</t>
  </si>
  <si>
    <t>purchase of pos paper by collins</t>
  </si>
  <si>
    <t>trf.</t>
  </si>
  <si>
    <t>pos paper</t>
  </si>
  <si>
    <t>martin to bring chicken</t>
  </si>
  <si>
    <t>cabbage</t>
  </si>
  <si>
    <t>waybil from warri. Vegetables</t>
  </si>
  <si>
    <t>payment for waybill of vegetable by esther</t>
  </si>
  <si>
    <t xml:space="preserve">purchase of water </t>
  </si>
  <si>
    <t>transport for diesel</t>
  </si>
  <si>
    <t>transporting tins frm hotel</t>
  </si>
  <si>
    <t>gift icecream</t>
  </si>
  <si>
    <t>transport of diesel from hotel</t>
  </si>
  <si>
    <t>transport to gift</t>
  </si>
  <si>
    <t>transporting of things from hotel</t>
  </si>
  <si>
    <t>purchase of milk for barkery</t>
  </si>
  <si>
    <t>transport to 5 staff after general clean up</t>
  </si>
  <si>
    <t>purchase of 1 bag of satchet water for baker</t>
  </si>
  <si>
    <t>CARD</t>
  </si>
  <si>
    <t>RUBBER BAND</t>
  </si>
  <si>
    <t>WAYBILL</t>
  </si>
  <si>
    <t>CAKE DECORATION ITEMS</t>
  </si>
  <si>
    <t>INSECTICIDE</t>
  </si>
  <si>
    <t>TOTAL EOD</t>
  </si>
  <si>
    <t>CREDIT SALES</t>
  </si>
  <si>
    <t>TOTAL</t>
  </si>
  <si>
    <t>CASH+EXP</t>
  </si>
  <si>
    <t>Net diff</t>
  </si>
  <si>
    <t>ESTHER</t>
  </si>
  <si>
    <t>WAYBILL BY SUPER FRM WARI</t>
  </si>
  <si>
    <t>PAYMENT FOR PIPING BAG</t>
  </si>
  <si>
    <t>SUBSCRIPTION FOR POS</t>
  </si>
  <si>
    <t>TRANSPORT TO STAFF AFTER CLEANING</t>
  </si>
  <si>
    <t>CARROT</t>
  </si>
  <si>
    <t>PURCHASE OF COWLEG AND TRANSPORT</t>
  </si>
  <si>
    <t>TRANSPORT TO BUY GAS</t>
  </si>
  <si>
    <t xml:space="preserve">PART PAYMENT FOR SERVING OF A,C </t>
  </si>
  <si>
    <t>GRINDED PEPER</t>
  </si>
  <si>
    <t>MARKET LIST BY SONIA</t>
  </si>
  <si>
    <t>PURCHASE OF GREEN LEAF AND T,FARE</t>
  </si>
  <si>
    <t>CASH DEPOSIT TO BANK</t>
  </si>
  <si>
    <t>transport to bank</t>
  </si>
  <si>
    <t>purchase of detergent</t>
  </si>
  <si>
    <t>transport to gift to buy icecream tins</t>
  </si>
  <si>
    <t xml:space="preserve">transport to buy minced meat </t>
  </si>
  <si>
    <t>PURCHASE OF SOAP</t>
  </si>
  <si>
    <t>purchase of recharge card by doris</t>
  </si>
  <si>
    <t>gift</t>
  </si>
  <si>
    <t>Miracle</t>
  </si>
  <si>
    <t>Transport</t>
  </si>
  <si>
    <t xml:space="preserve"> </t>
  </si>
  <si>
    <t>Gift transport back to hotel</t>
  </si>
  <si>
    <t>pure water lylon and transport</t>
  </si>
  <si>
    <t>pos</t>
  </si>
  <si>
    <t>Less Cash Back</t>
  </si>
  <si>
    <t>SLIPS</t>
  </si>
  <si>
    <t>Esther</t>
  </si>
  <si>
    <t>purchase of soap by ANN</t>
  </si>
  <si>
    <t>Transport to mkt by super</t>
  </si>
  <si>
    <t>purchase of pure water nylon, gren peper,t.fare by patrick</t>
  </si>
  <si>
    <t>purchase of big and small pos paper by super</t>
  </si>
  <si>
    <t>purchase of starch and water leaf by grace</t>
  </si>
  <si>
    <t>grinding of tomatoes by victory</t>
  </si>
  <si>
    <t>purchase of garri and transport by victory</t>
  </si>
  <si>
    <t>Purchase of 1.5 mm, 1 floriscent &amp; 1 champions by Adamu</t>
  </si>
  <si>
    <t>Market list by MR. Patrick ( Garri, ugu leaf, plantain, water leaf</t>
  </si>
  <si>
    <t>two smal funel, 1 stainles sleeve, 1 handcup, 2 pairs of handcloves</t>
  </si>
  <si>
    <t>grinding of tomoatoes</t>
  </si>
  <si>
    <t>starch ans water leaf</t>
  </si>
  <si>
    <t>garri</t>
  </si>
  <si>
    <t>17-MAR-</t>
  </si>
  <si>
    <t>waybill of milk from Abraka</t>
  </si>
  <si>
    <t>Pos pepper</t>
  </si>
  <si>
    <t>Store man transport</t>
  </si>
  <si>
    <t>Gave woman super for pos pepper</t>
  </si>
  <si>
    <t>Gave Gift for transport back to hotel</t>
  </si>
  <si>
    <t>transport to bring butter from hotel</t>
  </si>
  <si>
    <t>payment of waybill of milk from Abraka</t>
  </si>
  <si>
    <t>purchase of water for barkery and Admin</t>
  </si>
  <si>
    <t>transport to buy and  carry vegetable by super</t>
  </si>
  <si>
    <t>transport to carry meat by patrick</t>
  </si>
  <si>
    <t>purchase of 3 punch of plantain,okoro,carrot and transport( patrik</t>
  </si>
  <si>
    <t>transport to Mr. Adamu to go and check fan price</t>
  </si>
  <si>
    <t>Gave store man for transport to buy things from market</t>
  </si>
  <si>
    <t>market list by grace, vegetables,2 10kg basmatic rice,honey &amp; t.fare</t>
  </si>
  <si>
    <t>Transport to check fan prices, to purchase of fan by doris &amp;Ema</t>
  </si>
  <si>
    <t>purchase of iron sponge by sonia</t>
  </si>
  <si>
    <t>purchase of card for pos by ADAMU</t>
  </si>
  <si>
    <t>21-MAR-</t>
  </si>
  <si>
    <t>PURCHASE OF CARD FOR POS BY SUPER ESTHER</t>
  </si>
  <si>
    <t>Transport to buy cowleg</t>
  </si>
  <si>
    <t xml:space="preserve">purchase of pos paper </t>
  </si>
  <si>
    <t xml:space="preserve">purchase of cabbage by NYERO. </t>
  </si>
  <si>
    <t>Transport to buy minced meat</t>
  </si>
  <si>
    <t>Gave super woman</t>
  </si>
  <si>
    <t>Gave to Grace for transport</t>
  </si>
  <si>
    <t>Gave super woman for transport to hotel</t>
  </si>
  <si>
    <t>payment of transport to buy minced meat and water by Esther</t>
  </si>
  <si>
    <t>expenses by collins</t>
  </si>
  <si>
    <t>expenses by Esther</t>
  </si>
  <si>
    <t>transport to Martins to carry vegetable to Hotel</t>
  </si>
  <si>
    <t>transport for grace to go to market</t>
  </si>
  <si>
    <t>transport to Adamu for bringing DIESEL</t>
  </si>
  <si>
    <t>CASH BACK TO DORIS</t>
  </si>
  <si>
    <t>CASH BACK TO GRACE FOR MARKET LIST</t>
  </si>
  <si>
    <t>Refunded money to customer for on the 16th march</t>
  </si>
  <si>
    <t>Gave nyerhovwo for lighter</t>
  </si>
  <si>
    <t>Super transport to market</t>
  </si>
  <si>
    <t>To buy rubber band</t>
  </si>
  <si>
    <t>Transport of sack chicken</t>
  </si>
  <si>
    <t>To woman auditor for plantain</t>
  </si>
  <si>
    <t>Oga Adamu</t>
  </si>
  <si>
    <t>Gave Sonia for ugu</t>
  </si>
  <si>
    <t>Recharge card for pos</t>
  </si>
  <si>
    <t>Gift for transport</t>
  </si>
  <si>
    <t>Front office expenses ( purchase 200, transport to market by super,</t>
  </si>
  <si>
    <t xml:space="preserve">1000, 2,000,pat to buy ruberbind, transport of chicken, plantain </t>
  </si>
  <si>
    <t>Front office expenses ( Adamu,1000, ugu 500, pos card 1,000, gift 700</t>
  </si>
  <si>
    <t>25-MAR-</t>
  </si>
  <si>
    <t>Purchase of laptop charger for Auditor laptop</t>
  </si>
  <si>
    <t>purchase of bartery for barkery scale</t>
  </si>
  <si>
    <t>payment of waybill from Abraka</t>
  </si>
  <si>
    <t>transport to buy milk dougnut items</t>
  </si>
  <si>
    <t xml:space="preserve">purchase of satchect for Admin and bakery water </t>
  </si>
  <si>
    <t>Collection of waybill from abrakak</t>
  </si>
  <si>
    <t>payment of waybill from Abraka by Collins</t>
  </si>
  <si>
    <t>transport to market to buy drinks by collins</t>
  </si>
  <si>
    <t>purchase of carrot by Esther</t>
  </si>
  <si>
    <t>purchase of vegetable</t>
  </si>
  <si>
    <t>transport by Auditor to buy vegetable</t>
  </si>
  <si>
    <t>purchase of recharge card to Mr. Patrick</t>
  </si>
  <si>
    <t>transport to go and buy minced meat by mr. pat</t>
  </si>
  <si>
    <t>Mr patrick transport from house</t>
  </si>
  <si>
    <t>Transport to market by Collins</t>
  </si>
  <si>
    <t>Gave Esther for carrot</t>
  </si>
  <si>
    <t>Gave Esther for waybill from abraka</t>
  </si>
  <si>
    <t>KEKE</t>
  </si>
  <si>
    <t>PADLOCK</t>
  </si>
  <si>
    <t>SHORTAGE OF 23/03' PAID</t>
  </si>
  <si>
    <t>Purchase of padlock by patrick</t>
  </si>
  <si>
    <t>transport to buy gas by mr.patrick</t>
  </si>
  <si>
    <t>waybill</t>
  </si>
  <si>
    <t>green pepper</t>
  </si>
  <si>
    <t>sharpen of cutlass</t>
  </si>
  <si>
    <t>waybill to abraka</t>
  </si>
  <si>
    <t>transport of platain</t>
  </si>
  <si>
    <t>Gift transport</t>
  </si>
  <si>
    <t xml:space="preserve"> of fan</t>
  </si>
  <si>
    <t>rej/Preye</t>
  </si>
  <si>
    <t>attn</t>
  </si>
  <si>
    <t>bk</t>
  </si>
  <si>
    <t>Joy</t>
  </si>
  <si>
    <t>Ann</t>
  </si>
  <si>
    <t>Victory</t>
  </si>
  <si>
    <t>Jannet</t>
  </si>
  <si>
    <t>Angela</t>
  </si>
  <si>
    <t>Attendance</t>
  </si>
  <si>
    <t>Jennifer</t>
  </si>
  <si>
    <t>Daily Report</t>
  </si>
  <si>
    <t>vegetable</t>
  </si>
  <si>
    <t>soap</t>
  </si>
  <si>
    <t>waybill from lagos</t>
  </si>
  <si>
    <t>waybill from warri</t>
  </si>
  <si>
    <t>Purchase of vegetables and peper soup spices</t>
  </si>
  <si>
    <t>transport to waybill  ice cream powder</t>
  </si>
  <si>
    <t>purchase of green bell peper</t>
  </si>
  <si>
    <t>transport and sharpening of kitchen knives</t>
  </si>
  <si>
    <t>way bill to Abraka by Neyero</t>
  </si>
  <si>
    <t>transport to bring plantain by mama</t>
  </si>
  <si>
    <t>transport to gift after ice-cream production</t>
  </si>
  <si>
    <t>transport to bring fan by melvin</t>
  </si>
  <si>
    <t>Purchase of vegetables by patrick</t>
  </si>
  <si>
    <t>purchase of soap</t>
  </si>
  <si>
    <t>waybill from lagos by collins</t>
  </si>
  <si>
    <t>waybill of vegetables from warry by collins</t>
  </si>
  <si>
    <t>transport to bring diesel</t>
  </si>
  <si>
    <t>Purchase of 1 roll of bulgar pack and transport</t>
  </si>
  <si>
    <t>purchase of plantain</t>
  </si>
  <si>
    <t>cash to market by grace</t>
  </si>
  <si>
    <t>purchase of water</t>
  </si>
  <si>
    <t>transport of soap</t>
  </si>
  <si>
    <t>pos pepper and printer pepper</t>
  </si>
  <si>
    <t>transport of gas</t>
  </si>
  <si>
    <t>transport of disel</t>
  </si>
  <si>
    <t>of diesel</t>
  </si>
  <si>
    <t>transport of water</t>
  </si>
  <si>
    <t>for buying of spaghetti</t>
  </si>
  <si>
    <t>buying of spagetti by patric</t>
  </si>
  <si>
    <t>DIRECTOR</t>
  </si>
  <si>
    <t>purchase of 2 packets of spaghetti</t>
  </si>
  <si>
    <t>transport for 30 crates of water</t>
  </si>
  <si>
    <t>transport to refill 3 cylinder gas</t>
  </si>
  <si>
    <t>purchase of pos paper and printer paper</t>
  </si>
  <si>
    <t>transport to cary soap frm hotel by Adamu</t>
  </si>
  <si>
    <t>waybill of milk from Abraka by Adamu</t>
  </si>
  <si>
    <t>purchase of baking powder by Neyroro</t>
  </si>
  <si>
    <t>purchase of grinded peper by colins</t>
  </si>
  <si>
    <t>transport to gift after making ice-cream</t>
  </si>
  <si>
    <t>grinding of tomatoes and transport by Victory</t>
  </si>
  <si>
    <t>transport to buy ice-cream cup by gift</t>
  </si>
  <si>
    <t>transport of flour by collins</t>
  </si>
  <si>
    <t>Auditor woman</t>
  </si>
  <si>
    <t>Complimentry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</si>
</sst>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[$-409]dd\-mmm\-yy;@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5"/>
      <color theme="1"/>
      <name val="Calibri"/>
      <family val="2"/>
      <scheme val="minor"/>
    </font>
    <font>
      <sz val="15"/>
      <color rgb="FF000000"/>
      <name val="Arial"/>
      <family val="2"/>
    </font>
    <font>
      <b/>
      <sz val="15"/>
      <color rgb="FF2913AD"/>
      <name val="Noto Color Emoji"/>
      <family val="2"/>
    </font>
    <font>
      <b/>
      <sz val="15"/>
      <color rgb="FF000000"/>
      <name val="Noto Color Emoji"/>
      <family val="2"/>
    </font>
    <font>
      <b/>
      <sz val="15"/>
      <color rgb="FFFF0000"/>
      <name val="Arial"/>
      <family val="2"/>
    </font>
    <font>
      <b/>
      <sz val="15"/>
      <color rgb="FF000000"/>
      <name val="Arial"/>
      <family val="2"/>
    </font>
    <font>
      <b/>
      <sz val="15"/>
      <color rgb="FF000080"/>
      <name val="Arial"/>
      <family val="2"/>
    </font>
    <font>
      <b/>
      <sz val="15"/>
      <color rgb="FF0000FF"/>
      <name val="Arial"/>
      <family val="2"/>
    </font>
    <font>
      <b/>
      <sz val="15"/>
      <color theme="1"/>
      <name val="Arial"/>
      <family val="2"/>
    </font>
    <font>
      <b/>
      <sz val="11"/>
      <color rgb="FFFF0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5"/>
      <color rgb="FFFF9900"/>
      <name val="Arial"/>
      <family val="2"/>
    </font>
    <font>
      <b/>
      <sz val="16"/>
      <color theme="1"/>
      <name val="Arial"/>
      <family val="2"/>
    </font>
    <font>
      <b/>
      <sz val="11"/>
      <color rgb="FF0033CC"/>
      <name val="Calibri"/>
      <family val="2"/>
      <scheme val="minor"/>
    </font>
    <font>
      <b/>
      <sz val="15"/>
      <color rgb="FF00CCFF"/>
      <name val="Arial"/>
      <family val="2"/>
    </font>
    <font>
      <b/>
      <sz val="14"/>
      <color rgb="FFFF0000"/>
      <name val="Arial"/>
      <family val="2"/>
    </font>
    <font>
      <b/>
      <sz val="14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32">
    <xf numFmtId="0" fontId="0" fillId="0" borderId="0" xfId="0"/>
    <xf numFmtId="164" fontId="3" fillId="0" borderId="1" xfId="1" applyNumberFormat="1" applyFont="1" applyFill="1" applyBorder="1"/>
    <xf numFmtId="164" fontId="1" fillId="0" borderId="2" xfId="1" applyNumberFormat="1" applyFont="1" applyBorder="1"/>
    <xf numFmtId="0" fontId="4" fillId="0" borderId="0" xfId="0" applyFont="1"/>
    <xf numFmtId="164" fontId="4" fillId="0" borderId="0" xfId="1" applyNumberFormat="1" applyFont="1"/>
    <xf numFmtId="0" fontId="5" fillId="0" borderId="0" xfId="0" applyFont="1" applyAlignment="1">
      <alignment horizontal="right"/>
    </xf>
    <xf numFmtId="0" fontId="6" fillId="0" borderId="0" xfId="2" applyFont="1" applyAlignment="1">
      <alignment horizontal="left" vertical="top"/>
    </xf>
    <xf numFmtId="0" fontId="7" fillId="0" borderId="0" xfId="2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8" fillId="0" borderId="0" xfId="2" applyFont="1" applyAlignment="1">
      <alignment horizontal="left" vertical="top"/>
    </xf>
    <xf numFmtId="0" fontId="9" fillId="2" borderId="3" xfId="2" applyFont="1" applyFill="1" applyBorder="1" applyAlignment="1">
      <alignment horizontal="left" vertical="top"/>
    </xf>
    <xf numFmtId="0" fontId="9" fillId="2" borderId="4" xfId="2" applyFont="1" applyFill="1" applyBorder="1" applyAlignment="1">
      <alignment horizontal="left" vertical="top"/>
    </xf>
    <xf numFmtId="0" fontId="9" fillId="2" borderId="4" xfId="2" applyFont="1" applyFill="1" applyBorder="1" applyAlignment="1">
      <alignment horizontal="left" vertical="top" wrapText="1"/>
    </xf>
    <xf numFmtId="0" fontId="9" fillId="3" borderId="4" xfId="2" applyFont="1" applyFill="1" applyBorder="1" applyAlignment="1">
      <alignment horizontal="left" vertical="top" wrapText="1"/>
    </xf>
    <xf numFmtId="0" fontId="10" fillId="0" borderId="0" xfId="2" applyFont="1" applyAlignment="1">
      <alignment horizontal="left" vertical="top"/>
    </xf>
    <xf numFmtId="165" fontId="10" fillId="0" borderId="5" xfId="2" applyNumberFormat="1" applyFont="1" applyBorder="1" applyAlignment="1">
      <alignment horizontal="left" vertical="top"/>
    </xf>
    <xf numFmtId="0" fontId="11" fillId="0" borderId="5" xfId="2" applyFont="1" applyBorder="1" applyAlignment="1">
      <alignment horizontal="left" vertical="top"/>
    </xf>
    <xf numFmtId="164" fontId="12" fillId="0" borderId="5" xfId="2" applyNumberFormat="1" applyFont="1" applyBorder="1" applyAlignment="1">
      <alignment horizontal="left" vertical="top"/>
    </xf>
    <xf numFmtId="164" fontId="12" fillId="3" borderId="5" xfId="2" applyNumberFormat="1" applyFont="1" applyFill="1" applyBorder="1" applyAlignment="1">
      <alignment horizontal="left" vertical="top"/>
    </xf>
    <xf numFmtId="164" fontId="10" fillId="0" borderId="5" xfId="2" applyNumberFormat="1" applyFont="1" applyBorder="1" applyAlignment="1">
      <alignment horizontal="left" vertical="top"/>
    </xf>
    <xf numFmtId="164" fontId="9" fillId="0" borderId="5" xfId="2" applyNumberFormat="1" applyFont="1" applyBorder="1" applyAlignment="1">
      <alignment horizontal="left" vertical="top"/>
    </xf>
    <xf numFmtId="164" fontId="6" fillId="0" borderId="0" xfId="2" applyNumberFormat="1" applyFont="1" applyAlignment="1">
      <alignment horizontal="left" vertical="top"/>
    </xf>
    <xf numFmtId="164" fontId="5" fillId="0" borderId="0" xfId="0" applyNumberFormat="1" applyFont="1" applyAlignment="1">
      <alignment horizontal="left" vertical="top"/>
    </xf>
    <xf numFmtId="164" fontId="13" fillId="0" borderId="6" xfId="2" applyNumberFormat="1" applyFont="1" applyBorder="1" applyAlignment="1">
      <alignment horizontal="left" vertical="top"/>
    </xf>
    <xf numFmtId="164" fontId="5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4" fontId="14" fillId="0" borderId="7" xfId="1" applyNumberFormat="1" applyFont="1" applyBorder="1"/>
    <xf numFmtId="164" fontId="14" fillId="4" borderId="7" xfId="1" applyNumberFormat="1" applyFont="1" applyFill="1" applyBorder="1"/>
    <xf numFmtId="164" fontId="15" fillId="0" borderId="0" xfId="1" applyNumberFormat="1" applyFont="1"/>
    <xf numFmtId="164" fontId="16" fillId="0" borderId="0" xfId="1" applyNumberFormat="1" applyFont="1"/>
    <xf numFmtId="164" fontId="4" fillId="0" borderId="6" xfId="1" applyNumberFormat="1" applyFont="1" applyBorder="1"/>
    <xf numFmtId="164" fontId="1" fillId="0" borderId="7" xfId="1" applyNumberFormat="1" applyFont="1" applyBorder="1"/>
    <xf numFmtId="164" fontId="1" fillId="4" borderId="6" xfId="1" applyNumberFormat="1" applyFont="1" applyFill="1" applyBorder="1"/>
    <xf numFmtId="0" fontId="4" fillId="0" borderId="0" xfId="0" applyFont="1" applyAlignment="1">
      <alignment horizontal="right" indent="1"/>
    </xf>
    <xf numFmtId="165" fontId="10" fillId="0" borderId="7" xfId="2" applyNumberFormat="1" applyFont="1" applyBorder="1" applyAlignment="1">
      <alignment horizontal="left" vertical="top"/>
    </xf>
    <xf numFmtId="164" fontId="13" fillId="0" borderId="7" xfId="2" applyNumberFormat="1" applyFont="1" applyBorder="1" applyAlignment="1">
      <alignment horizontal="left" vertical="top"/>
    </xf>
    <xf numFmtId="164" fontId="12" fillId="3" borderId="7" xfId="2" applyNumberFormat="1" applyFont="1" applyFill="1" applyBorder="1" applyAlignment="1">
      <alignment horizontal="left" vertical="top"/>
    </xf>
    <xf numFmtId="164" fontId="10" fillId="0" borderId="7" xfId="2" applyNumberFormat="1" applyFont="1" applyBorder="1" applyAlignment="1">
      <alignment horizontal="left" vertical="top"/>
    </xf>
    <xf numFmtId="164" fontId="1" fillId="0" borderId="6" xfId="1" applyNumberFormat="1" applyFont="1" applyBorder="1"/>
    <xf numFmtId="164" fontId="1" fillId="0" borderId="0" xfId="1" applyNumberFormat="1" applyFont="1"/>
    <xf numFmtId="164" fontId="1" fillId="3" borderId="7" xfId="1" applyNumberFormat="1" applyFont="1" applyFill="1" applyBorder="1"/>
    <xf numFmtId="164" fontId="13" fillId="5" borderId="6" xfId="2" applyNumberFormat="1" applyFont="1" applyFill="1" applyBorder="1" applyAlignment="1">
      <alignment horizontal="left" vertical="top"/>
    </xf>
    <xf numFmtId="164" fontId="13" fillId="6" borderId="6" xfId="2" applyNumberFormat="1" applyFont="1" applyFill="1" applyBorder="1" applyAlignment="1">
      <alignment horizontal="left" vertical="top"/>
    </xf>
    <xf numFmtId="164" fontId="13" fillId="7" borderId="6" xfId="2" applyNumberFormat="1" applyFont="1" applyFill="1" applyBorder="1" applyAlignment="1">
      <alignment horizontal="left" vertical="top"/>
    </xf>
    <xf numFmtId="164" fontId="1" fillId="0" borderId="0" xfId="1" applyNumberFormat="1" applyFont="1" applyBorder="1"/>
    <xf numFmtId="164" fontId="1" fillId="0" borderId="0" xfId="1" applyNumberFormat="1" applyFont="1" applyBorder="1"/>
    <xf numFmtId="164" fontId="1" fillId="0" borderId="0" xfId="1" applyNumberFormat="1" applyFont="1" applyBorder="1"/>
    <xf numFmtId="164" fontId="1" fillId="0" borderId="0" xfId="1" applyNumberFormat="1" applyFont="1"/>
    <xf numFmtId="164" fontId="1" fillId="0" borderId="0" xfId="1" applyNumberFormat="1" applyFont="1" applyBorder="1"/>
    <xf numFmtId="164" fontId="0" fillId="0" borderId="0" xfId="0" applyNumberFormat="1"/>
    <xf numFmtId="0" fontId="5" fillId="0" borderId="6" xfId="0" applyFont="1" applyBorder="1" applyAlignment="1">
      <alignment horizontal="right"/>
    </xf>
    <xf numFmtId="0" fontId="17" fillId="8" borderId="0" xfId="0" applyFont="1" applyFill="1" applyAlignment="1">
      <alignment horizontal="left"/>
    </xf>
    <xf numFmtId="0" fontId="18" fillId="0" borderId="6" xfId="0" applyFont="1" applyBorder="1" applyAlignment="1">
      <alignment horizontal="right"/>
    </xf>
    <xf numFmtId="164" fontId="13" fillId="9" borderId="6" xfId="2" applyNumberFormat="1" applyFont="1" applyFill="1" applyBorder="1" applyAlignment="1">
      <alignment horizontal="left" vertical="top"/>
    </xf>
    <xf numFmtId="164" fontId="1" fillId="0" borderId="0" xfId="1" applyNumberFormat="1" applyFont="1"/>
    <xf numFmtId="164" fontId="13" fillId="10" borderId="6" xfId="2" applyNumberFormat="1" applyFont="1" applyFill="1" applyBorder="1" applyAlignment="1">
      <alignment horizontal="left" vertical="top"/>
    </xf>
    <xf numFmtId="0" fontId="5" fillId="0" borderId="6" xfId="0" applyFont="1" applyBorder="1" applyAlignment="1">
      <alignment horizontal="left"/>
    </xf>
    <xf numFmtId="164" fontId="1" fillId="0" borderId="0" xfId="1" applyNumberFormat="1" applyFont="1" applyBorder="1"/>
    <xf numFmtId="164" fontId="1" fillId="0" borderId="6" xfId="1" applyNumberFormat="1" applyFont="1" applyBorder="1"/>
    <xf numFmtId="0" fontId="5" fillId="7" borderId="6" xfId="0" applyFont="1" applyFill="1" applyBorder="1" applyAlignment="1">
      <alignment horizontal="left"/>
    </xf>
    <xf numFmtId="0" fontId="19" fillId="0" borderId="6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0" borderId="6" xfId="0" applyFont="1" applyBorder="1" applyAlignment="1"/>
    <xf numFmtId="0" fontId="18" fillId="0" borderId="0" xfId="0" applyFont="1" applyAlignment="1">
      <alignment horizontal="left"/>
    </xf>
    <xf numFmtId="164" fontId="1" fillId="0" borderId="0" xfId="1" applyNumberFormat="1" applyFont="1" applyBorder="1"/>
    <xf numFmtId="164" fontId="1" fillId="0" borderId="0" xfId="1" applyNumberFormat="1" applyFont="1"/>
    <xf numFmtId="164" fontId="1" fillId="0" borderId="0" xfId="1" applyNumberFormat="1" applyFont="1" applyBorder="1"/>
    <xf numFmtId="164" fontId="1" fillId="0" borderId="0" xfId="1" applyNumberFormat="1" applyFont="1" applyBorder="1"/>
    <xf numFmtId="164" fontId="1" fillId="0" borderId="0" xfId="1" applyNumberFormat="1" applyFont="1" applyBorder="1"/>
    <xf numFmtId="164" fontId="13" fillId="11" borderId="6" xfId="2" applyNumberFormat="1" applyFont="1" applyFill="1" applyBorder="1" applyAlignment="1">
      <alignment horizontal="left" vertical="top"/>
    </xf>
    <xf numFmtId="164" fontId="3" fillId="12" borderId="1" xfId="1" applyNumberFormat="1" applyFont="1" applyFill="1" applyBorder="1"/>
    <xf numFmtId="164" fontId="1" fillId="0" borderId="0" xfId="1" applyNumberFormat="1" applyFont="1" applyBorder="1"/>
    <xf numFmtId="164" fontId="14" fillId="12" borderId="7" xfId="1" applyNumberFormat="1" applyFont="1" applyFill="1" applyBorder="1"/>
    <xf numFmtId="164" fontId="1" fillId="13" borderId="0" xfId="1" applyNumberFormat="1" applyFont="1" applyFill="1"/>
    <xf numFmtId="164" fontId="15" fillId="13" borderId="0" xfId="1" applyNumberFormat="1" applyFont="1" applyFill="1"/>
    <xf numFmtId="164" fontId="16" fillId="13" borderId="0" xfId="1" applyNumberFormat="1" applyFont="1" applyFill="1"/>
    <xf numFmtId="164" fontId="1" fillId="13" borderId="7" xfId="1" applyNumberFormat="1" applyFont="1" applyFill="1" applyBorder="1"/>
    <xf numFmtId="164" fontId="1" fillId="7" borderId="2" xfId="1" applyNumberFormat="1" applyFont="1" applyFill="1" applyBorder="1"/>
    <xf numFmtId="164" fontId="1" fillId="4" borderId="0" xfId="1" applyNumberFormat="1" applyFont="1" applyFill="1" applyBorder="1"/>
    <xf numFmtId="0" fontId="4" fillId="0" borderId="6" xfId="0" applyFont="1" applyBorder="1"/>
    <xf numFmtId="0" fontId="0" fillId="0" borderId="6" xfId="0" applyBorder="1"/>
    <xf numFmtId="164" fontId="1" fillId="13" borderId="6" xfId="1" applyNumberFormat="1" applyFont="1" applyFill="1" applyBorder="1"/>
    <xf numFmtId="0" fontId="0" fillId="0" borderId="5" xfId="0" applyBorder="1"/>
    <xf numFmtId="164" fontId="1" fillId="7" borderId="5" xfId="1" applyNumberFormat="1" applyFont="1" applyFill="1" applyBorder="1"/>
    <xf numFmtId="0" fontId="0" fillId="0" borderId="8" xfId="0" applyBorder="1"/>
    <xf numFmtId="164" fontId="1" fillId="0" borderId="8" xfId="1" applyNumberFormat="1" applyFont="1" applyBorder="1"/>
    <xf numFmtId="0" fontId="4" fillId="12" borderId="9" xfId="0" applyFont="1" applyFill="1" applyBorder="1"/>
    <xf numFmtId="164" fontId="4" fillId="12" borderId="9" xfId="1" applyNumberFormat="1" applyFont="1" applyFill="1" applyBorder="1"/>
    <xf numFmtId="164" fontId="13" fillId="14" borderId="6" xfId="2" applyNumberFormat="1" applyFont="1" applyFill="1" applyBorder="1" applyAlignment="1">
      <alignment horizontal="left" vertical="top"/>
    </xf>
    <xf numFmtId="164" fontId="21" fillId="7" borderId="6" xfId="2" applyNumberFormat="1" applyFont="1" applyFill="1" applyBorder="1" applyAlignment="1">
      <alignment horizontal="left" vertical="top"/>
    </xf>
    <xf numFmtId="164" fontId="22" fillId="7" borderId="6" xfId="2" applyNumberFormat="1" applyFont="1" applyFill="1" applyBorder="1" applyAlignment="1">
      <alignment horizontal="left" vertical="top"/>
    </xf>
    <xf numFmtId="164" fontId="1" fillId="0" borderId="0" xfId="1" applyNumberFormat="1" applyFont="1" applyBorder="1"/>
    <xf numFmtId="164" fontId="1" fillId="0" borderId="0" xfId="1" applyNumberFormat="1" applyFont="1" applyBorder="1"/>
    <xf numFmtId="0" fontId="23" fillId="12" borderId="9" xfId="0" applyFont="1" applyFill="1" applyBorder="1"/>
    <xf numFmtId="164" fontId="23" fillId="12" borderId="9" xfId="1" applyNumberFormat="1" applyFont="1" applyFill="1" applyBorder="1"/>
    <xf numFmtId="0" fontId="14" fillId="0" borderId="7" xfId="0" applyFont="1" applyBorder="1"/>
    <xf numFmtId="0" fontId="3" fillId="0" borderId="7" xfId="0" applyFont="1" applyBorder="1"/>
    <xf numFmtId="164" fontId="14" fillId="13" borderId="7" xfId="1" applyNumberFormat="1" applyFont="1" applyFill="1" applyBorder="1"/>
    <xf numFmtId="164" fontId="1" fillId="0" borderId="0" xfId="1" applyNumberFormat="1" applyFont="1" applyAlignment="1">
      <alignment horizontal="center"/>
    </xf>
    <xf numFmtId="164" fontId="13" fillId="15" borderId="6" xfId="2" applyNumberFormat="1" applyFont="1" applyFill="1" applyBorder="1" applyAlignment="1">
      <alignment horizontal="left" vertical="top"/>
    </xf>
    <xf numFmtId="164" fontId="1" fillId="0" borderId="0" xfId="1" applyNumberFormat="1" applyFont="1" applyBorder="1"/>
    <xf numFmtId="164" fontId="13" fillId="16" borderId="6" xfId="2" applyNumberFormat="1" applyFont="1" applyFill="1" applyBorder="1" applyAlignment="1">
      <alignment horizontal="left" vertical="top"/>
    </xf>
    <xf numFmtId="164" fontId="1" fillId="0" borderId="0" xfId="1" applyNumberFormat="1" applyFont="1" applyBorder="1"/>
    <xf numFmtId="164" fontId="13" fillId="12" borderId="6" xfId="2" applyNumberFormat="1" applyFont="1" applyFill="1" applyBorder="1" applyAlignment="1">
      <alignment horizontal="left" vertical="top"/>
    </xf>
    <xf numFmtId="164" fontId="1" fillId="0" borderId="0" xfId="1" applyNumberFormat="1" applyFont="1" applyBorder="1"/>
    <xf numFmtId="164" fontId="1" fillId="0" borderId="0" xfId="1" applyNumberFormat="1" applyFont="1"/>
    <xf numFmtId="164" fontId="1" fillId="0" borderId="0" xfId="1" applyNumberFormat="1" applyFont="1" applyBorder="1"/>
    <xf numFmtId="164" fontId="1" fillId="0" borderId="0" xfId="1" applyNumberFormat="1" applyFont="1" applyBorder="1"/>
    <xf numFmtId="164" fontId="1" fillId="0" borderId="0" xfId="1" applyNumberFormat="1" applyFont="1" applyBorder="1"/>
    <xf numFmtId="15" fontId="18" fillId="0" borderId="6" xfId="0" applyNumberFormat="1" applyFont="1" applyBorder="1" applyAlignment="1">
      <alignment horizontal="right"/>
    </xf>
    <xf numFmtId="164" fontId="24" fillId="17" borderId="6" xfId="2" applyNumberFormat="1" applyFont="1" applyFill="1" applyBorder="1" applyAlignment="1">
      <alignment horizontal="left" vertical="top"/>
    </xf>
    <xf numFmtId="164" fontId="9" fillId="7" borderId="6" xfId="2" applyNumberFormat="1" applyFont="1" applyFill="1" applyBorder="1" applyAlignment="1">
      <alignment horizontal="left" vertical="top"/>
    </xf>
    <xf numFmtId="164" fontId="25" fillId="7" borderId="6" xfId="2" applyNumberFormat="1" applyFont="1" applyFill="1" applyBorder="1" applyAlignment="1">
      <alignment horizontal="left" vertical="top"/>
    </xf>
    <xf numFmtId="164" fontId="26" fillId="0" borderId="6" xfId="2" applyNumberFormat="1" applyFont="1" applyBorder="1" applyAlignment="1">
      <alignment horizontal="left" vertical="top"/>
    </xf>
    <xf numFmtId="164" fontId="13" fillId="18" borderId="6" xfId="2" applyNumberFormat="1" applyFont="1" applyFill="1" applyBorder="1" applyAlignment="1">
      <alignment horizontal="left" vertical="top"/>
    </xf>
    <xf numFmtId="164" fontId="0" fillId="0" borderId="0" xfId="1" applyNumberFormat="1" applyFont="1" applyBorder="1"/>
    <xf numFmtId="164" fontId="0" fillId="0" borderId="0" xfId="1" applyNumberFormat="1" applyFont="1"/>
    <xf numFmtId="164" fontId="0" fillId="0" borderId="6" xfId="1" applyNumberFormat="1" applyFont="1" applyBorder="1"/>
    <xf numFmtId="164" fontId="13" fillId="19" borderId="6" xfId="2" applyNumberFormat="1" applyFont="1" applyFill="1" applyBorder="1" applyAlignment="1">
      <alignment horizontal="left" vertical="top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43" fontId="3" fillId="0" borderId="7" xfId="1" applyFont="1" applyBorder="1" applyAlignment="1">
      <alignment horizontal="center"/>
    </xf>
    <xf numFmtId="164" fontId="3" fillId="0" borderId="7" xfId="1" applyNumberFormat="1" applyFont="1" applyBorder="1"/>
    <xf numFmtId="0" fontId="0" fillId="0" borderId="7" xfId="0" applyBorder="1" applyAlignment="1">
      <alignment horizontal="right"/>
    </xf>
    <xf numFmtId="164" fontId="3" fillId="12" borderId="7" xfId="1" applyNumberFormat="1" applyFont="1" applyFill="1" applyBorder="1"/>
    <xf numFmtId="0" fontId="23" fillId="7" borderId="10" xfId="0" applyFont="1" applyFill="1" applyBorder="1"/>
    <xf numFmtId="164" fontId="23" fillId="7" borderId="10" xfId="1" applyNumberFormat="1" applyFont="1" applyFill="1" applyBorder="1"/>
    <xf numFmtId="0" fontId="14" fillId="0" borderId="9" xfId="0" applyFont="1" applyBorder="1"/>
    <xf numFmtId="0" fontId="3" fillId="0" borderId="9" xfId="0" applyFont="1" applyBorder="1"/>
    <xf numFmtId="164" fontId="14" fillId="13" borderId="9" xfId="1" applyNumberFormat="1" applyFont="1" applyFill="1" applyBorder="1"/>
    <xf numFmtId="0" fontId="0" fillId="12" borderId="7" xfId="0" applyFill="1" applyBorder="1"/>
    <xf numFmtId="164" fontId="1" fillId="12" borderId="7" xfId="1" applyNumberFormat="1" applyFont="1" applyFill="1" applyBorder="1"/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colors>
    <mruColors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4"/>
  <sheetViews>
    <sheetView workbookViewId="0">
      <selection activeCell="D17" sqref="D17:D18"/>
    </sheetView>
  </sheetViews>
  <sheetFormatPr defaultRowHeight="15"/>
  <cols>
    <col min="2" max="2" width="18.140625" style="39" customWidth="1"/>
    <col min="3" max="3" width="9.140625" style="39"/>
    <col min="4" max="4" width="22.85546875" style="39" customWidth="1"/>
    <col min="6" max="6" width="17.5703125" customWidth="1"/>
  </cols>
  <sheetData>
    <row r="2" spans="2:4">
      <c r="B2" s="38">
        <v>1000</v>
      </c>
      <c r="C2" s="38">
        <v>16</v>
      </c>
      <c r="D2" s="38">
        <f>+B2*C2</f>
        <v>16000</v>
      </c>
    </row>
    <row r="3" spans="2:4">
      <c r="B3" s="38">
        <v>500</v>
      </c>
      <c r="C3" s="38">
        <v>59</v>
      </c>
      <c r="D3" s="38">
        <f t="shared" ref="D3:D15" si="0">+B3*C3</f>
        <v>29500</v>
      </c>
    </row>
    <row r="4" spans="2:4">
      <c r="B4" s="38">
        <v>200</v>
      </c>
      <c r="C4" s="38"/>
      <c r="D4" s="38">
        <f t="shared" si="0"/>
        <v>0</v>
      </c>
    </row>
    <row r="5" spans="2:4">
      <c r="B5" s="38">
        <v>100</v>
      </c>
      <c r="C5" s="38"/>
      <c r="D5" s="38">
        <f t="shared" si="0"/>
        <v>0</v>
      </c>
    </row>
    <row r="6" spans="2:4">
      <c r="B6" s="38">
        <v>50</v>
      </c>
      <c r="C6" s="38"/>
      <c r="D6" s="38">
        <f t="shared" si="0"/>
        <v>0</v>
      </c>
    </row>
    <row r="7" spans="2:4">
      <c r="B7" s="38"/>
      <c r="C7" s="38"/>
      <c r="D7" s="38">
        <f t="shared" si="0"/>
        <v>0</v>
      </c>
    </row>
    <row r="8" spans="2:4">
      <c r="B8" s="38">
        <v>1000</v>
      </c>
      <c r="C8" s="38"/>
      <c r="D8" s="38">
        <f t="shared" si="0"/>
        <v>0</v>
      </c>
    </row>
    <row r="9" spans="2:4">
      <c r="B9" s="38">
        <v>500</v>
      </c>
      <c r="C9" s="38"/>
      <c r="D9" s="38">
        <f t="shared" si="0"/>
        <v>0</v>
      </c>
    </row>
    <row r="10" spans="2:4">
      <c r="B10" s="38">
        <v>200</v>
      </c>
      <c r="C10" s="38"/>
      <c r="D10" s="38">
        <f t="shared" si="0"/>
        <v>0</v>
      </c>
    </row>
    <row r="11" spans="2:4">
      <c r="B11" s="38">
        <v>100</v>
      </c>
      <c r="C11" s="38"/>
      <c r="D11" s="38">
        <f t="shared" si="0"/>
        <v>0</v>
      </c>
    </row>
    <row r="12" spans="2:4">
      <c r="B12" s="38">
        <v>50</v>
      </c>
      <c r="C12" s="38"/>
      <c r="D12" s="38">
        <f t="shared" si="0"/>
        <v>0</v>
      </c>
    </row>
    <row r="13" spans="2:4">
      <c r="B13" s="38"/>
      <c r="C13" s="38"/>
      <c r="D13" s="38">
        <f t="shared" si="0"/>
        <v>0</v>
      </c>
    </row>
    <row r="14" spans="2:4">
      <c r="B14" s="38"/>
      <c r="C14" s="38"/>
      <c r="D14" s="38">
        <f t="shared" si="0"/>
        <v>0</v>
      </c>
    </row>
    <row r="15" spans="2:4">
      <c r="B15" s="38"/>
      <c r="C15" s="38"/>
      <c r="D15" s="38">
        <f t="shared" si="0"/>
        <v>0</v>
      </c>
    </row>
    <row r="16" spans="2:4" ht="15.75" thickBot="1">
      <c r="B16" s="40"/>
      <c r="C16" s="40"/>
      <c r="D16" s="40">
        <f>SUM(D2:D15)</f>
        <v>45500</v>
      </c>
    </row>
    <row r="17" spans="2:6" ht="15.75" thickTop="1"/>
    <row r="20" spans="2:6" ht="19.5">
      <c r="B20" s="15">
        <v>45350</v>
      </c>
      <c r="C20" s="42" t="s">
        <v>14</v>
      </c>
      <c r="D20" s="23">
        <v>262750</v>
      </c>
      <c r="E20" s="18"/>
      <c r="F20" s="19"/>
    </row>
    <row r="21" spans="2:6" ht="19.5">
      <c r="B21" s="15"/>
      <c r="C21" s="23" t="s">
        <v>22</v>
      </c>
      <c r="D21" s="23"/>
      <c r="E21" s="18"/>
      <c r="F21" s="19">
        <v>2000</v>
      </c>
    </row>
    <row r="22" spans="2:6" ht="19.5">
      <c r="B22" s="15"/>
      <c r="C22" s="23" t="s">
        <v>23</v>
      </c>
      <c r="D22" s="23"/>
      <c r="E22" s="18"/>
      <c r="F22" s="19">
        <v>20000</v>
      </c>
    </row>
    <row r="23" spans="2:6" ht="19.5">
      <c r="B23" s="15"/>
      <c r="C23" s="23" t="s">
        <v>24</v>
      </c>
      <c r="D23" s="23"/>
      <c r="E23" s="18"/>
      <c r="F23" s="19">
        <v>122600</v>
      </c>
    </row>
    <row r="24" spans="2:6" ht="19.5">
      <c r="B24" s="15"/>
      <c r="C24" s="41"/>
      <c r="D24" s="23"/>
      <c r="E24" s="18"/>
      <c r="F24" s="19">
        <v>550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39"/>
  <sheetViews>
    <sheetView topLeftCell="A207" zoomScale="87" zoomScaleNormal="87" workbookViewId="0">
      <selection activeCell="B93" sqref="B93"/>
    </sheetView>
  </sheetViews>
  <sheetFormatPr defaultRowHeight="19.5"/>
  <cols>
    <col min="1" max="1" width="14" style="5" customWidth="1"/>
    <col min="2" max="2" width="86.28515625" style="5" customWidth="1"/>
    <col min="3" max="3" width="13.140625" style="5" customWidth="1"/>
    <col min="4" max="4" width="13.42578125" style="5" customWidth="1"/>
    <col min="5" max="5" width="18.28515625" style="5" customWidth="1"/>
    <col min="6" max="6" width="17.7109375" style="5" customWidth="1"/>
    <col min="7" max="7" width="12.5703125" style="5" customWidth="1"/>
    <col min="8" max="11" width="9.140625" style="5"/>
    <col min="12" max="12" width="9.85546875" style="5" bestFit="1" customWidth="1"/>
    <col min="13" max="16384" width="9.140625" style="5"/>
  </cols>
  <sheetData>
    <row r="2" spans="1:7">
      <c r="A2" s="6"/>
      <c r="B2" s="7" t="s">
        <v>7</v>
      </c>
      <c r="C2" s="8"/>
      <c r="D2" s="9"/>
      <c r="E2" s="6"/>
      <c r="F2" s="6"/>
      <c r="G2" s="6"/>
    </row>
    <row r="3" spans="1:7" ht="20.25" thickBot="1">
      <c r="A3" s="6"/>
      <c r="B3" s="7" t="s">
        <v>26</v>
      </c>
      <c r="C3" s="9"/>
      <c r="D3" s="9"/>
      <c r="E3" s="6"/>
      <c r="F3" s="6"/>
      <c r="G3" s="6"/>
    </row>
    <row r="4" spans="1:7" ht="60" thickTop="1" thickBot="1">
      <c r="A4" s="10" t="s">
        <v>8</v>
      </c>
      <c r="B4" s="11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/>
    </row>
    <row r="5" spans="1:7" ht="20.25" thickTop="1">
      <c r="A5" s="15">
        <v>45352</v>
      </c>
      <c r="B5" s="16" t="s">
        <v>16</v>
      </c>
      <c r="C5" s="17">
        <v>207170</v>
      </c>
      <c r="D5" s="18"/>
      <c r="E5" s="19"/>
      <c r="F5" s="20">
        <f>+C5-E5</f>
        <v>207170</v>
      </c>
      <c r="G5" s="6"/>
    </row>
    <row r="6" spans="1:7">
      <c r="A6" s="15">
        <v>45352</v>
      </c>
      <c r="B6" s="16" t="s">
        <v>14</v>
      </c>
      <c r="C6" s="17">
        <f>104400+11700</f>
        <v>116100</v>
      </c>
      <c r="D6" s="18"/>
      <c r="E6" s="19"/>
      <c r="F6" s="20">
        <f t="shared" ref="F6:F236" si="0">+F5+C6-D6-E6</f>
        <v>323270</v>
      </c>
      <c r="G6" s="21"/>
    </row>
    <row r="7" spans="1:7">
      <c r="A7" s="15"/>
      <c r="B7" s="43" t="s">
        <v>20</v>
      </c>
      <c r="C7" s="23"/>
      <c r="D7" s="18"/>
      <c r="E7" s="19">
        <v>400</v>
      </c>
      <c r="F7" s="20">
        <f t="shared" si="0"/>
        <v>322870</v>
      </c>
      <c r="G7" s="8"/>
    </row>
    <row r="8" spans="1:7">
      <c r="A8" s="15"/>
      <c r="B8" s="43" t="s">
        <v>27</v>
      </c>
      <c r="C8" s="23"/>
      <c r="D8" s="18"/>
      <c r="E8" s="19">
        <v>1000</v>
      </c>
      <c r="F8" s="20">
        <f t="shared" si="0"/>
        <v>321870</v>
      </c>
      <c r="G8" s="8"/>
    </row>
    <row r="9" spans="1:7">
      <c r="A9" s="15"/>
      <c r="B9" s="43" t="s">
        <v>20</v>
      </c>
      <c r="C9" s="23"/>
      <c r="D9" s="18"/>
      <c r="E9" s="19">
        <v>400</v>
      </c>
      <c r="F9" s="20">
        <f t="shared" si="0"/>
        <v>321470</v>
      </c>
      <c r="G9" s="8"/>
    </row>
    <row r="10" spans="1:7">
      <c r="A10" s="15"/>
      <c r="B10" s="43" t="s">
        <v>29</v>
      </c>
      <c r="C10" s="23"/>
      <c r="D10" s="18"/>
      <c r="E10" s="19">
        <v>3000</v>
      </c>
      <c r="F10" s="20">
        <f t="shared" si="0"/>
        <v>318470</v>
      </c>
      <c r="G10" s="8"/>
    </row>
    <row r="11" spans="1:7">
      <c r="A11" s="15"/>
      <c r="B11" s="43" t="s">
        <v>30</v>
      </c>
      <c r="C11" s="23"/>
      <c r="D11" s="18"/>
      <c r="E11" s="19">
        <v>3000</v>
      </c>
      <c r="F11" s="20">
        <f t="shared" si="0"/>
        <v>315470</v>
      </c>
      <c r="G11" s="8"/>
    </row>
    <row r="12" spans="1:7">
      <c r="A12" s="15"/>
      <c r="B12" s="43" t="s">
        <v>25</v>
      </c>
      <c r="C12" s="23"/>
      <c r="D12" s="18"/>
      <c r="E12" s="19">
        <v>1100</v>
      </c>
      <c r="F12" s="20">
        <f t="shared" si="0"/>
        <v>314370</v>
      </c>
      <c r="G12" s="8"/>
    </row>
    <row r="13" spans="1:7">
      <c r="A13" s="15"/>
      <c r="B13" s="43" t="s">
        <v>31</v>
      </c>
      <c r="C13" s="23"/>
      <c r="D13" s="18"/>
      <c r="E13" s="19">
        <v>1000</v>
      </c>
      <c r="F13" s="20">
        <f t="shared" si="0"/>
        <v>313370</v>
      </c>
      <c r="G13" s="8"/>
    </row>
    <row r="14" spans="1:7">
      <c r="A14" s="15"/>
      <c r="B14" s="43" t="s">
        <v>32</v>
      </c>
      <c r="C14" s="23"/>
      <c r="D14" s="18"/>
      <c r="E14" s="19">
        <v>700</v>
      </c>
      <c r="F14" s="20">
        <f t="shared" si="0"/>
        <v>312670</v>
      </c>
      <c r="G14" s="8"/>
    </row>
    <row r="15" spans="1:7">
      <c r="A15" s="15"/>
      <c r="B15" s="43" t="s">
        <v>33</v>
      </c>
      <c r="C15" s="23"/>
      <c r="D15" s="18"/>
      <c r="E15" s="19">
        <v>300</v>
      </c>
      <c r="F15" s="20">
        <f t="shared" si="0"/>
        <v>312370</v>
      </c>
      <c r="G15" s="8"/>
    </row>
    <row r="16" spans="1:7">
      <c r="A16" s="15"/>
      <c r="B16" s="43" t="s">
        <v>34</v>
      </c>
      <c r="C16" s="23"/>
      <c r="D16" s="18"/>
      <c r="E16" s="19">
        <v>800</v>
      </c>
      <c r="F16" s="20">
        <f t="shared" si="0"/>
        <v>311570</v>
      </c>
      <c r="G16" s="8"/>
    </row>
    <row r="17" spans="1:7">
      <c r="A17" s="15">
        <v>40970</v>
      </c>
      <c r="B17" s="43" t="s">
        <v>14</v>
      </c>
      <c r="C17" s="23">
        <v>63600</v>
      </c>
      <c r="D17" s="18"/>
      <c r="E17" s="19"/>
      <c r="F17" s="20">
        <f t="shared" si="0"/>
        <v>375170</v>
      </c>
      <c r="G17" s="8"/>
    </row>
    <row r="18" spans="1:7">
      <c r="A18" s="15"/>
      <c r="B18" s="43" t="s">
        <v>35</v>
      </c>
      <c r="C18" s="23"/>
      <c r="D18" s="18"/>
      <c r="E18" s="19">
        <v>10000</v>
      </c>
      <c r="F18" s="20">
        <f t="shared" si="0"/>
        <v>365170</v>
      </c>
      <c r="G18" s="8"/>
    </row>
    <row r="19" spans="1:7">
      <c r="A19" s="15"/>
      <c r="B19" s="43" t="s">
        <v>42</v>
      </c>
      <c r="C19" s="23"/>
      <c r="D19" s="18"/>
      <c r="E19" s="19">
        <v>4000</v>
      </c>
      <c r="F19" s="20">
        <f t="shared" si="0"/>
        <v>361170</v>
      </c>
      <c r="G19" s="8"/>
    </row>
    <row r="20" spans="1:7">
      <c r="A20" s="15"/>
      <c r="B20" s="43" t="s">
        <v>36</v>
      </c>
      <c r="C20" s="23"/>
      <c r="D20" s="18"/>
      <c r="E20" s="19">
        <v>7000</v>
      </c>
      <c r="F20" s="20">
        <f t="shared" si="0"/>
        <v>354170</v>
      </c>
      <c r="G20" s="8"/>
    </row>
    <row r="21" spans="1:7">
      <c r="A21" s="15"/>
      <c r="B21" s="43" t="s">
        <v>37</v>
      </c>
      <c r="C21" s="23"/>
      <c r="D21" s="18"/>
      <c r="E21" s="19">
        <v>3000</v>
      </c>
      <c r="F21" s="20">
        <f t="shared" si="0"/>
        <v>351170</v>
      </c>
      <c r="G21" s="8"/>
    </row>
    <row r="22" spans="1:7">
      <c r="A22" s="15"/>
      <c r="B22" s="43" t="s">
        <v>38</v>
      </c>
      <c r="C22" s="23"/>
      <c r="D22" s="18"/>
      <c r="E22" s="19">
        <v>550</v>
      </c>
      <c r="F22" s="20">
        <f t="shared" si="0"/>
        <v>350620</v>
      </c>
      <c r="G22" s="8"/>
    </row>
    <row r="23" spans="1:7">
      <c r="A23" s="15"/>
      <c r="B23" s="43" t="s">
        <v>40</v>
      </c>
      <c r="C23" s="23"/>
      <c r="D23" s="18"/>
      <c r="E23" s="19">
        <v>1600</v>
      </c>
      <c r="F23" s="20">
        <f t="shared" si="0"/>
        <v>349020</v>
      </c>
      <c r="G23" s="8"/>
    </row>
    <row r="24" spans="1:7">
      <c r="A24" s="15"/>
      <c r="B24" s="43" t="s">
        <v>41</v>
      </c>
      <c r="C24" s="23"/>
      <c r="D24" s="18"/>
      <c r="E24" s="19">
        <v>1000</v>
      </c>
      <c r="F24" s="20">
        <f t="shared" si="0"/>
        <v>348020</v>
      </c>
      <c r="G24" s="8"/>
    </row>
    <row r="25" spans="1:7" ht="26.25">
      <c r="A25" s="15">
        <v>40971</v>
      </c>
      <c r="B25" s="51" t="s">
        <v>14</v>
      </c>
      <c r="C25" s="23">
        <f>7600+73800</f>
        <v>81400</v>
      </c>
      <c r="D25" s="18"/>
      <c r="E25" s="50"/>
      <c r="F25" s="20">
        <f t="shared" si="0"/>
        <v>429420</v>
      </c>
      <c r="G25" s="8"/>
    </row>
    <row r="26" spans="1:7">
      <c r="A26" s="15"/>
      <c r="B26" s="43" t="s">
        <v>43</v>
      </c>
      <c r="C26" s="23"/>
      <c r="D26" s="18"/>
      <c r="E26" s="52">
        <v>7600</v>
      </c>
      <c r="F26" s="20">
        <f t="shared" si="0"/>
        <v>421820</v>
      </c>
      <c r="G26" s="8"/>
    </row>
    <row r="27" spans="1:7">
      <c r="A27" s="15"/>
      <c r="B27" s="43" t="s">
        <v>44</v>
      </c>
      <c r="C27" s="23"/>
      <c r="D27" s="18"/>
      <c r="E27" s="19">
        <v>400</v>
      </c>
      <c r="F27" s="20">
        <f t="shared" si="0"/>
        <v>421420</v>
      </c>
      <c r="G27" s="8"/>
    </row>
    <row r="28" spans="1:7">
      <c r="A28" s="15">
        <v>40972</v>
      </c>
      <c r="B28" s="53" t="s">
        <v>14</v>
      </c>
      <c r="C28" s="23">
        <f>69500+9200</f>
        <v>78700</v>
      </c>
      <c r="D28" s="18"/>
      <c r="E28" s="19"/>
      <c r="F28" s="20">
        <f t="shared" si="0"/>
        <v>500120</v>
      </c>
      <c r="G28" s="8"/>
    </row>
    <row r="29" spans="1:7">
      <c r="A29" s="15"/>
      <c r="B29" s="43" t="s">
        <v>46</v>
      </c>
      <c r="C29" s="23"/>
      <c r="D29" s="18"/>
      <c r="E29" s="19">
        <v>9200</v>
      </c>
      <c r="F29" s="20">
        <f t="shared" si="0"/>
        <v>490920</v>
      </c>
      <c r="G29" s="8"/>
    </row>
    <row r="30" spans="1:7">
      <c r="A30" s="15">
        <v>45356</v>
      </c>
      <c r="B30" s="43" t="s">
        <v>47</v>
      </c>
      <c r="C30" s="23">
        <v>31900</v>
      </c>
      <c r="D30" s="18"/>
      <c r="E30" s="19">
        <v>6000</v>
      </c>
      <c r="F30" s="20">
        <f t="shared" si="0"/>
        <v>516820</v>
      </c>
      <c r="G30" s="8"/>
    </row>
    <row r="31" spans="1:7">
      <c r="A31" s="15"/>
      <c r="B31" s="43" t="s">
        <v>48</v>
      </c>
      <c r="C31" s="23"/>
      <c r="D31" s="18"/>
      <c r="E31" s="19">
        <v>500</v>
      </c>
      <c r="F31" s="20">
        <f t="shared" si="0"/>
        <v>516320</v>
      </c>
      <c r="G31" s="8"/>
    </row>
    <row r="32" spans="1:7">
      <c r="A32" s="15"/>
      <c r="B32" s="43" t="s">
        <v>49</v>
      </c>
      <c r="C32" s="23"/>
      <c r="D32" s="18"/>
      <c r="E32" s="19">
        <v>20700</v>
      </c>
      <c r="F32" s="20">
        <f t="shared" si="0"/>
        <v>495620</v>
      </c>
      <c r="G32" s="8"/>
    </row>
    <row r="33" spans="1:7">
      <c r="A33" s="15"/>
      <c r="B33" s="43" t="s">
        <v>50</v>
      </c>
      <c r="C33" s="23"/>
      <c r="D33" s="18"/>
      <c r="E33" s="19">
        <v>16000</v>
      </c>
      <c r="F33" s="20">
        <f t="shared" si="0"/>
        <v>479620</v>
      </c>
      <c r="G33" s="8"/>
    </row>
    <row r="34" spans="1:7">
      <c r="A34" s="15"/>
      <c r="B34" s="43" t="s">
        <v>52</v>
      </c>
      <c r="C34" s="23"/>
      <c r="D34" s="18"/>
      <c r="E34" s="19">
        <v>2500</v>
      </c>
      <c r="F34" s="20">
        <f t="shared" si="0"/>
        <v>477120</v>
      </c>
      <c r="G34" s="8"/>
    </row>
    <row r="35" spans="1:7">
      <c r="A35" s="15">
        <v>40974</v>
      </c>
      <c r="B35" s="55" t="s">
        <v>14</v>
      </c>
      <c r="C35" s="23">
        <v>25500</v>
      </c>
      <c r="D35" s="18"/>
      <c r="E35" s="19"/>
      <c r="F35" s="20">
        <f>+F33+C35-D35-E35</f>
        <v>505120</v>
      </c>
      <c r="G35" s="8"/>
    </row>
    <row r="36" spans="1:7">
      <c r="A36" s="15"/>
      <c r="B36" s="56" t="s">
        <v>58</v>
      </c>
      <c r="C36" s="23"/>
      <c r="D36" s="18"/>
      <c r="E36" s="19">
        <v>10000</v>
      </c>
      <c r="F36" s="20">
        <f t="shared" si="0"/>
        <v>495120</v>
      </c>
      <c r="G36" s="8"/>
    </row>
    <row r="37" spans="1:7">
      <c r="A37" s="15"/>
      <c r="B37" s="59" t="s">
        <v>59</v>
      </c>
      <c r="C37" s="23"/>
      <c r="D37" s="18"/>
      <c r="E37" s="19">
        <v>1500</v>
      </c>
      <c r="F37" s="20">
        <f t="shared" si="0"/>
        <v>493620</v>
      </c>
      <c r="G37" s="8"/>
    </row>
    <row r="38" spans="1:7" ht="21">
      <c r="A38" s="15">
        <v>45358</v>
      </c>
      <c r="B38" s="60" t="s">
        <v>14</v>
      </c>
      <c r="C38" s="23">
        <v>69500</v>
      </c>
      <c r="D38" s="18"/>
      <c r="E38" s="19"/>
      <c r="F38" s="20">
        <f t="shared" si="0"/>
        <v>563120</v>
      </c>
      <c r="G38" s="8"/>
    </row>
    <row r="39" spans="1:7">
      <c r="A39" s="15"/>
      <c r="B39" s="61" t="s">
        <v>60</v>
      </c>
      <c r="C39" s="23"/>
      <c r="D39" s="18"/>
      <c r="E39" s="19">
        <v>2100</v>
      </c>
      <c r="F39" s="20">
        <f t="shared" si="0"/>
        <v>561020</v>
      </c>
      <c r="G39" s="8"/>
    </row>
    <row r="40" spans="1:7" ht="21">
      <c r="A40" s="15"/>
      <c r="B40" s="62" t="s">
        <v>61</v>
      </c>
      <c r="C40" s="23"/>
      <c r="D40" s="18"/>
      <c r="E40" s="19">
        <v>41600</v>
      </c>
      <c r="F40" s="20">
        <f t="shared" si="0"/>
        <v>519420</v>
      </c>
      <c r="G40" s="8"/>
    </row>
    <row r="41" spans="1:7">
      <c r="A41" s="15"/>
      <c r="B41" s="63" t="s">
        <v>62</v>
      </c>
      <c r="C41" s="23"/>
      <c r="D41" s="18"/>
      <c r="E41" s="19">
        <v>500</v>
      </c>
      <c r="F41" s="20">
        <f t="shared" si="0"/>
        <v>518920</v>
      </c>
      <c r="G41" s="8"/>
    </row>
    <row r="42" spans="1:7">
      <c r="A42" s="15"/>
      <c r="B42" s="43" t="s">
        <v>63</v>
      </c>
      <c r="C42" s="23"/>
      <c r="D42" s="18"/>
      <c r="E42" s="19">
        <v>70000</v>
      </c>
      <c r="F42" s="20">
        <f t="shared" si="0"/>
        <v>448920</v>
      </c>
      <c r="G42" s="8"/>
    </row>
    <row r="43" spans="1:7">
      <c r="A43" s="15"/>
      <c r="B43" s="43" t="s">
        <v>56</v>
      </c>
      <c r="C43" s="23"/>
      <c r="D43" s="18"/>
      <c r="E43" s="19">
        <v>300</v>
      </c>
      <c r="F43" s="20">
        <f t="shared" si="0"/>
        <v>448620</v>
      </c>
      <c r="G43" s="8"/>
    </row>
    <row r="44" spans="1:7">
      <c r="A44" s="15"/>
      <c r="B44" s="43" t="s">
        <v>66</v>
      </c>
      <c r="C44" s="23"/>
      <c r="D44" s="18"/>
      <c r="E44" s="19">
        <v>3000</v>
      </c>
      <c r="F44" s="20">
        <f t="shared" si="0"/>
        <v>445620</v>
      </c>
      <c r="G44" s="8"/>
    </row>
    <row r="45" spans="1:7">
      <c r="A45" s="15"/>
      <c r="B45" s="43" t="s">
        <v>67</v>
      </c>
      <c r="C45" s="23">
        <v>2300</v>
      </c>
      <c r="D45" s="18"/>
      <c r="E45" s="19"/>
      <c r="F45" s="20">
        <f t="shared" si="0"/>
        <v>447920</v>
      </c>
      <c r="G45" s="8"/>
    </row>
    <row r="46" spans="1:7">
      <c r="A46" s="15"/>
      <c r="B46" s="43" t="s">
        <v>61</v>
      </c>
      <c r="C46" s="23"/>
      <c r="D46" s="18"/>
      <c r="E46" s="19">
        <v>126500</v>
      </c>
      <c r="F46" s="20">
        <f t="shared" si="0"/>
        <v>321420</v>
      </c>
      <c r="G46" s="8"/>
    </row>
    <row r="47" spans="1:7">
      <c r="A47" s="15"/>
      <c r="B47" s="43" t="s">
        <v>68</v>
      </c>
      <c r="C47" s="23"/>
      <c r="D47" s="18"/>
      <c r="E47" s="19">
        <v>1500</v>
      </c>
      <c r="F47" s="20">
        <f t="shared" si="0"/>
        <v>319920</v>
      </c>
      <c r="G47" s="8"/>
    </row>
    <row r="48" spans="1:7">
      <c r="B48" s="43" t="s">
        <v>69</v>
      </c>
      <c r="C48" s="23"/>
      <c r="D48" s="18"/>
      <c r="E48" s="19">
        <v>550</v>
      </c>
      <c r="F48" s="20">
        <f t="shared" si="0"/>
        <v>319370</v>
      </c>
      <c r="G48" s="8"/>
    </row>
    <row r="49" spans="1:7">
      <c r="A49" s="15">
        <v>40976</v>
      </c>
      <c r="B49" s="43" t="s">
        <v>72</v>
      </c>
      <c r="C49" s="23">
        <f>46000+4000</f>
        <v>50000</v>
      </c>
      <c r="D49" s="18"/>
      <c r="E49" s="19">
        <v>1000</v>
      </c>
      <c r="F49" s="20">
        <f t="shared" si="0"/>
        <v>368370</v>
      </c>
      <c r="G49" s="8"/>
    </row>
    <row r="50" spans="1:7">
      <c r="A50" s="15"/>
      <c r="B50" s="43" t="s">
        <v>69</v>
      </c>
      <c r="C50" s="23"/>
      <c r="D50" s="18"/>
      <c r="E50" s="19">
        <v>1100</v>
      </c>
      <c r="F50" s="20">
        <f t="shared" si="0"/>
        <v>367270</v>
      </c>
      <c r="G50" s="8"/>
    </row>
    <row r="51" spans="1:7">
      <c r="A51" s="15"/>
      <c r="B51" s="43" t="s">
        <v>70</v>
      </c>
      <c r="C51" s="23"/>
      <c r="D51" s="18"/>
      <c r="E51" s="19">
        <v>800</v>
      </c>
      <c r="F51" s="20">
        <f t="shared" si="0"/>
        <v>366470</v>
      </c>
      <c r="G51" s="8"/>
    </row>
    <row r="52" spans="1:7">
      <c r="A52" s="15"/>
      <c r="B52" s="43" t="s">
        <v>71</v>
      </c>
      <c r="C52" s="23"/>
      <c r="D52" s="18"/>
      <c r="E52" s="19">
        <v>500</v>
      </c>
      <c r="F52" s="20">
        <f t="shared" si="0"/>
        <v>365970</v>
      </c>
      <c r="G52" s="8"/>
    </row>
    <row r="53" spans="1:7">
      <c r="A53" s="15"/>
      <c r="B53" s="43" t="s">
        <v>74</v>
      </c>
      <c r="C53" s="23"/>
      <c r="D53" s="18"/>
      <c r="E53" s="19">
        <v>14200</v>
      </c>
      <c r="F53" s="20">
        <f t="shared" si="0"/>
        <v>351770</v>
      </c>
      <c r="G53" s="8"/>
    </row>
    <row r="54" spans="1:7">
      <c r="A54" s="15"/>
      <c r="B54" s="43" t="s">
        <v>75</v>
      </c>
      <c r="C54" s="23"/>
      <c r="D54" s="18"/>
      <c r="E54" s="19">
        <v>4000</v>
      </c>
      <c r="F54" s="20">
        <f t="shared" si="0"/>
        <v>347770</v>
      </c>
      <c r="G54" s="8"/>
    </row>
    <row r="55" spans="1:7">
      <c r="A55" s="15">
        <v>45360</v>
      </c>
      <c r="B55" s="43" t="s">
        <v>14</v>
      </c>
      <c r="C55" s="23">
        <v>22600</v>
      </c>
      <c r="D55" s="18"/>
      <c r="E55" s="19"/>
      <c r="F55" s="20">
        <f t="shared" si="0"/>
        <v>370370</v>
      </c>
      <c r="G55" s="8"/>
    </row>
    <row r="56" spans="1:7">
      <c r="A56" s="15"/>
      <c r="B56" s="43" t="s">
        <v>81</v>
      </c>
      <c r="C56" s="23"/>
      <c r="D56" s="18"/>
      <c r="E56" s="19">
        <v>2500</v>
      </c>
      <c r="F56" s="20">
        <f t="shared" si="0"/>
        <v>367870</v>
      </c>
      <c r="G56" s="8"/>
    </row>
    <row r="57" spans="1:7">
      <c r="A57" s="15"/>
      <c r="B57" s="43" t="s">
        <v>52</v>
      </c>
      <c r="C57" s="23"/>
      <c r="D57" s="18"/>
      <c r="E57" s="19">
        <v>8800</v>
      </c>
      <c r="F57" s="20">
        <f t="shared" si="0"/>
        <v>359070</v>
      </c>
      <c r="G57" s="8"/>
    </row>
    <row r="58" spans="1:7">
      <c r="A58" s="15">
        <v>45361</v>
      </c>
      <c r="B58" s="111" t="s">
        <v>14</v>
      </c>
      <c r="C58" s="23">
        <v>22250</v>
      </c>
      <c r="D58" s="18"/>
      <c r="E58" s="19"/>
      <c r="F58" s="20">
        <f t="shared" si="0"/>
        <v>381320</v>
      </c>
      <c r="G58" s="8"/>
    </row>
    <row r="59" spans="1:7">
      <c r="A59" s="15">
        <v>45362</v>
      </c>
      <c r="B59" s="43" t="s">
        <v>49</v>
      </c>
      <c r="C59" s="23"/>
      <c r="D59" s="18"/>
      <c r="E59" s="19">
        <v>9300</v>
      </c>
      <c r="F59" s="20">
        <f t="shared" si="0"/>
        <v>372020</v>
      </c>
      <c r="G59" s="8"/>
    </row>
    <row r="60" spans="1:7">
      <c r="A60" s="15"/>
      <c r="B60" s="43" t="s">
        <v>82</v>
      </c>
      <c r="C60" s="23"/>
      <c r="D60" s="18"/>
      <c r="E60" s="19">
        <v>400</v>
      </c>
      <c r="F60" s="20">
        <f t="shared" si="0"/>
        <v>371620</v>
      </c>
      <c r="G60" s="8"/>
    </row>
    <row r="61" spans="1:7">
      <c r="A61" s="15"/>
      <c r="B61" s="43" t="s">
        <v>86</v>
      </c>
      <c r="C61" s="23"/>
      <c r="D61" s="18"/>
      <c r="E61" s="19">
        <v>1000</v>
      </c>
      <c r="F61" s="20">
        <f t="shared" si="0"/>
        <v>370620</v>
      </c>
      <c r="G61" s="8"/>
    </row>
    <row r="62" spans="1:7">
      <c r="A62" s="15"/>
      <c r="B62" s="43" t="s">
        <v>88</v>
      </c>
      <c r="C62" s="23"/>
      <c r="D62" s="18"/>
      <c r="E62" s="19">
        <v>1000</v>
      </c>
      <c r="F62" s="20">
        <f t="shared" si="0"/>
        <v>369620</v>
      </c>
      <c r="G62" s="8"/>
    </row>
    <row r="63" spans="1:7">
      <c r="A63" s="15"/>
      <c r="B63" s="43" t="s">
        <v>87</v>
      </c>
      <c r="C63" s="23"/>
      <c r="D63" s="18"/>
      <c r="E63" s="19">
        <v>600</v>
      </c>
      <c r="F63" s="20">
        <f t="shared" si="0"/>
        <v>369020</v>
      </c>
      <c r="G63" s="8"/>
    </row>
    <row r="64" spans="1:7">
      <c r="A64" s="15">
        <v>45362</v>
      </c>
      <c r="B64" s="69" t="s">
        <v>14</v>
      </c>
      <c r="C64" s="23">
        <v>65650</v>
      </c>
      <c r="D64" s="18"/>
      <c r="E64" s="19"/>
      <c r="F64" s="20">
        <f t="shared" si="0"/>
        <v>434670</v>
      </c>
      <c r="G64" s="8"/>
    </row>
    <row r="65" spans="1:7">
      <c r="A65" s="15">
        <v>45363</v>
      </c>
      <c r="B65" s="43" t="s">
        <v>89</v>
      </c>
      <c r="C65" s="23"/>
      <c r="D65" s="18"/>
      <c r="E65" s="19">
        <v>5000</v>
      </c>
      <c r="F65" s="20">
        <f t="shared" si="0"/>
        <v>429670</v>
      </c>
      <c r="G65" s="8"/>
    </row>
    <row r="66" spans="1:7">
      <c r="A66" s="15"/>
      <c r="B66" s="43" t="s">
        <v>90</v>
      </c>
      <c r="C66" s="23"/>
      <c r="D66" s="18"/>
      <c r="E66" s="19">
        <v>2500</v>
      </c>
      <c r="F66" s="20">
        <f t="shared" si="0"/>
        <v>427170</v>
      </c>
      <c r="G66" s="8"/>
    </row>
    <row r="67" spans="1:7">
      <c r="A67" s="15"/>
      <c r="B67" s="43" t="s">
        <v>91</v>
      </c>
      <c r="C67" s="23"/>
      <c r="D67" s="18"/>
      <c r="E67" s="19">
        <v>350</v>
      </c>
      <c r="F67" s="20">
        <f t="shared" si="0"/>
        <v>426820</v>
      </c>
      <c r="G67" s="8"/>
    </row>
    <row r="68" spans="1:7">
      <c r="A68" s="15"/>
      <c r="B68" s="88" t="s">
        <v>14</v>
      </c>
      <c r="C68" s="23">
        <v>82750</v>
      </c>
      <c r="D68" s="18"/>
      <c r="E68" s="19"/>
      <c r="F68" s="20">
        <f>+F67+C68-D68-E68</f>
        <v>509570</v>
      </c>
      <c r="G68" s="8"/>
    </row>
    <row r="69" spans="1:7">
      <c r="A69" s="15"/>
      <c r="B69" s="43" t="s">
        <v>92</v>
      </c>
      <c r="C69" s="23"/>
      <c r="D69" s="18"/>
      <c r="E69" s="19">
        <v>1100</v>
      </c>
      <c r="F69" s="20">
        <f t="shared" si="0"/>
        <v>508470</v>
      </c>
      <c r="G69" s="8"/>
    </row>
    <row r="70" spans="1:7">
      <c r="A70" s="15"/>
      <c r="B70" s="43" t="s">
        <v>93</v>
      </c>
      <c r="C70" s="23"/>
      <c r="D70" s="18"/>
      <c r="E70" s="19">
        <v>2000</v>
      </c>
      <c r="F70" s="20">
        <f t="shared" si="0"/>
        <v>506470</v>
      </c>
      <c r="G70" s="8"/>
    </row>
    <row r="71" spans="1:7">
      <c r="A71" s="15"/>
      <c r="B71" s="43" t="s">
        <v>95</v>
      </c>
      <c r="C71" s="23"/>
      <c r="D71" s="18"/>
      <c r="E71" s="19">
        <v>4000</v>
      </c>
      <c r="F71" s="20">
        <f t="shared" si="0"/>
        <v>502470</v>
      </c>
      <c r="G71" s="8"/>
    </row>
    <row r="72" spans="1:7">
      <c r="A72" s="15"/>
      <c r="B72" s="43" t="s">
        <v>103</v>
      </c>
      <c r="C72" s="23"/>
      <c r="D72" s="18"/>
      <c r="E72" s="19">
        <v>2000</v>
      </c>
      <c r="F72" s="20">
        <f t="shared" si="0"/>
        <v>500470</v>
      </c>
      <c r="G72" s="8"/>
    </row>
    <row r="73" spans="1:7">
      <c r="A73" s="15"/>
      <c r="B73" s="43" t="s">
        <v>96</v>
      </c>
      <c r="C73" s="23"/>
      <c r="D73" s="18"/>
      <c r="E73" s="19">
        <v>3000</v>
      </c>
      <c r="F73" s="20">
        <f t="shared" si="0"/>
        <v>497470</v>
      </c>
      <c r="G73" s="8"/>
    </row>
    <row r="74" spans="1:7">
      <c r="A74" s="15">
        <v>45364</v>
      </c>
      <c r="B74" s="89" t="s">
        <v>14</v>
      </c>
      <c r="C74" s="23">
        <v>45500</v>
      </c>
      <c r="D74" s="18"/>
      <c r="E74" s="19"/>
      <c r="F74" s="20">
        <f t="shared" si="0"/>
        <v>542970</v>
      </c>
      <c r="G74" s="8"/>
    </row>
    <row r="75" spans="1:7">
      <c r="A75" s="15"/>
      <c r="B75" s="43" t="s">
        <v>104</v>
      </c>
      <c r="C75" s="23"/>
      <c r="D75" s="18"/>
      <c r="E75" s="19">
        <v>1000</v>
      </c>
      <c r="F75" s="20">
        <f t="shared" si="0"/>
        <v>541970</v>
      </c>
      <c r="G75" s="8"/>
    </row>
    <row r="76" spans="1:7">
      <c r="A76" s="15"/>
      <c r="B76" s="43" t="s">
        <v>105</v>
      </c>
      <c r="C76" s="23"/>
      <c r="D76" s="18"/>
      <c r="E76" s="19">
        <v>2100</v>
      </c>
      <c r="F76" s="20">
        <f t="shared" si="0"/>
        <v>539870</v>
      </c>
      <c r="G76" s="8"/>
    </row>
    <row r="77" spans="1:7">
      <c r="A77" s="15"/>
      <c r="B77" s="43" t="s">
        <v>106</v>
      </c>
      <c r="C77" s="23"/>
      <c r="D77" s="18"/>
      <c r="E77" s="19">
        <v>2500</v>
      </c>
      <c r="F77" s="20">
        <f t="shared" si="0"/>
        <v>537370</v>
      </c>
      <c r="G77" s="8"/>
    </row>
    <row r="78" spans="1:7" ht="20.25">
      <c r="A78" s="15"/>
      <c r="B78" s="90" t="s">
        <v>165</v>
      </c>
      <c r="C78" s="23"/>
      <c r="D78" s="18"/>
      <c r="E78" s="19">
        <v>2000</v>
      </c>
      <c r="F78" s="20">
        <f t="shared" si="0"/>
        <v>535370</v>
      </c>
      <c r="G78" s="8"/>
    </row>
    <row r="79" spans="1:7">
      <c r="A79" s="15"/>
      <c r="B79" s="43" t="s">
        <v>107</v>
      </c>
      <c r="C79" s="23"/>
      <c r="D79" s="18"/>
      <c r="E79" s="19">
        <v>1000</v>
      </c>
      <c r="F79" s="20">
        <f t="shared" si="0"/>
        <v>534370</v>
      </c>
      <c r="G79" s="8"/>
    </row>
    <row r="80" spans="1:7">
      <c r="A80" s="15"/>
      <c r="B80" s="43" t="s">
        <v>108</v>
      </c>
      <c r="C80" s="23"/>
      <c r="D80" s="18"/>
      <c r="E80" s="19">
        <v>6000</v>
      </c>
      <c r="F80" s="20">
        <f t="shared" si="0"/>
        <v>528370</v>
      </c>
      <c r="G80" s="8"/>
    </row>
    <row r="81" spans="1:7">
      <c r="A81" s="15"/>
      <c r="B81" s="43" t="s">
        <v>109</v>
      </c>
      <c r="C81" s="23"/>
      <c r="D81" s="18"/>
      <c r="E81" s="19">
        <v>800</v>
      </c>
      <c r="F81" s="20">
        <f t="shared" si="0"/>
        <v>527570</v>
      </c>
      <c r="G81" s="8"/>
    </row>
    <row r="82" spans="1:7">
      <c r="A82" s="15"/>
      <c r="B82" s="43" t="s">
        <v>110</v>
      </c>
      <c r="C82" s="23"/>
      <c r="D82" s="18"/>
      <c r="E82" s="19">
        <v>10000</v>
      </c>
      <c r="F82" s="20">
        <f t="shared" si="0"/>
        <v>517570</v>
      </c>
      <c r="G82" s="8"/>
    </row>
    <row r="83" spans="1:7">
      <c r="A83" s="15"/>
      <c r="B83" s="43"/>
      <c r="C83" s="23"/>
      <c r="D83" s="18"/>
      <c r="E83" s="19"/>
      <c r="F83" s="20">
        <f t="shared" si="0"/>
        <v>517570</v>
      </c>
      <c r="G83" s="8"/>
    </row>
    <row r="84" spans="1:7">
      <c r="A84" s="15"/>
      <c r="B84" s="43"/>
      <c r="C84" s="23"/>
      <c r="D84" s="18"/>
      <c r="E84" s="19"/>
      <c r="F84" s="20">
        <f t="shared" si="0"/>
        <v>517570</v>
      </c>
      <c r="G84" s="8"/>
    </row>
    <row r="85" spans="1:7">
      <c r="A85" s="15">
        <v>45365</v>
      </c>
      <c r="B85" s="43" t="s">
        <v>14</v>
      </c>
      <c r="C85" s="23">
        <v>55100</v>
      </c>
      <c r="D85" s="18"/>
      <c r="E85" s="19"/>
      <c r="F85" s="20">
        <f t="shared" si="0"/>
        <v>572670</v>
      </c>
      <c r="G85" s="8"/>
    </row>
    <row r="86" spans="1:7">
      <c r="A86" s="15"/>
      <c r="B86" s="43" t="s">
        <v>119</v>
      </c>
      <c r="C86" s="23"/>
      <c r="D86" s="18"/>
      <c r="E86" s="19">
        <v>800</v>
      </c>
      <c r="F86" s="20">
        <f t="shared" si="0"/>
        <v>571870</v>
      </c>
      <c r="G86" s="8"/>
    </row>
    <row r="87" spans="1:7">
      <c r="A87" s="15"/>
      <c r="B87" s="43" t="s">
        <v>111</v>
      </c>
      <c r="C87" s="23"/>
      <c r="D87" s="18"/>
      <c r="E87" s="19">
        <v>1000</v>
      </c>
      <c r="F87" s="20">
        <f t="shared" si="0"/>
        <v>570870</v>
      </c>
      <c r="G87" s="8"/>
    </row>
    <row r="88" spans="1:7">
      <c r="A88" s="15"/>
      <c r="B88" s="43" t="s">
        <v>112</v>
      </c>
      <c r="C88" s="23"/>
      <c r="D88" s="18"/>
      <c r="E88" s="19">
        <v>19000</v>
      </c>
      <c r="F88" s="20">
        <f t="shared" si="0"/>
        <v>551870</v>
      </c>
      <c r="G88" s="8"/>
    </row>
    <row r="89" spans="1:7">
      <c r="A89" s="15"/>
      <c r="B89" s="43" t="s">
        <v>113</v>
      </c>
      <c r="C89" s="23"/>
      <c r="D89" s="18"/>
      <c r="E89" s="19">
        <v>1500</v>
      </c>
      <c r="F89" s="20">
        <f t="shared" si="0"/>
        <v>550370</v>
      </c>
      <c r="G89" s="8"/>
    </row>
    <row r="90" spans="1:7">
      <c r="A90" s="15"/>
      <c r="B90" s="43" t="s">
        <v>131</v>
      </c>
      <c r="C90" s="23"/>
      <c r="D90" s="18"/>
      <c r="E90" s="19">
        <v>400</v>
      </c>
      <c r="F90" s="20">
        <f t="shared" si="0"/>
        <v>549970</v>
      </c>
      <c r="G90" s="8"/>
    </row>
    <row r="91" spans="1:7">
      <c r="A91" s="15"/>
      <c r="B91" s="43" t="s">
        <v>132</v>
      </c>
      <c r="C91" s="23"/>
      <c r="D91" s="18"/>
      <c r="E91" s="19">
        <v>500</v>
      </c>
      <c r="F91" s="20">
        <f t="shared" si="0"/>
        <v>549470</v>
      </c>
      <c r="G91" s="8"/>
    </row>
    <row r="92" spans="1:7">
      <c r="A92" s="15">
        <v>45366</v>
      </c>
      <c r="B92" s="99" t="s">
        <v>14</v>
      </c>
      <c r="C92" s="23">
        <v>51500</v>
      </c>
      <c r="D92" s="18"/>
      <c r="E92" s="19"/>
      <c r="F92" s="20">
        <f t="shared" si="0"/>
        <v>600970</v>
      </c>
      <c r="G92" s="8"/>
    </row>
    <row r="93" spans="1:7">
      <c r="A93" s="15"/>
      <c r="B93" s="43" t="s">
        <v>114</v>
      </c>
      <c r="C93" s="23"/>
      <c r="D93" s="18"/>
      <c r="E93" s="19">
        <v>500000</v>
      </c>
      <c r="F93" s="20">
        <f t="shared" si="0"/>
        <v>100970</v>
      </c>
      <c r="G93" s="8"/>
    </row>
    <row r="94" spans="1:7">
      <c r="A94" s="15"/>
      <c r="B94" s="43" t="s">
        <v>115</v>
      </c>
      <c r="C94" s="23"/>
      <c r="D94" s="18"/>
      <c r="E94" s="19">
        <v>500</v>
      </c>
      <c r="F94" s="20">
        <f t="shared" si="0"/>
        <v>100470</v>
      </c>
      <c r="G94" s="8"/>
    </row>
    <row r="95" spans="1:7">
      <c r="A95" s="15"/>
      <c r="B95" s="43" t="s">
        <v>118</v>
      </c>
      <c r="C95" s="23"/>
      <c r="D95" s="18"/>
      <c r="E95" s="19">
        <v>1500</v>
      </c>
      <c r="F95" s="20">
        <f t="shared" si="0"/>
        <v>98970</v>
      </c>
      <c r="G95" s="8"/>
    </row>
    <row r="96" spans="1:7">
      <c r="A96" s="15"/>
      <c r="B96" s="43" t="s">
        <v>116</v>
      </c>
      <c r="C96" s="23"/>
      <c r="D96" s="18"/>
      <c r="E96" s="19">
        <v>800</v>
      </c>
      <c r="F96" s="20">
        <f t="shared" si="0"/>
        <v>98170</v>
      </c>
      <c r="G96" s="8"/>
    </row>
    <row r="97" spans="1:7">
      <c r="A97" s="15"/>
      <c r="B97" s="43" t="s">
        <v>82</v>
      </c>
      <c r="C97" s="23"/>
      <c r="D97" s="18"/>
      <c r="E97" s="19">
        <v>1000</v>
      </c>
      <c r="F97" s="20">
        <f t="shared" si="0"/>
        <v>97170</v>
      </c>
      <c r="G97" s="8"/>
    </row>
    <row r="98" spans="1:7">
      <c r="A98" s="15"/>
      <c r="B98" s="43" t="s">
        <v>117</v>
      </c>
      <c r="C98" s="23"/>
      <c r="D98" s="18"/>
      <c r="E98" s="19">
        <v>600</v>
      </c>
      <c r="F98" s="20">
        <f t="shared" si="0"/>
        <v>96570</v>
      </c>
      <c r="G98" s="8"/>
    </row>
    <row r="99" spans="1:7">
      <c r="A99" s="15"/>
      <c r="B99" s="43" t="s">
        <v>120</v>
      </c>
      <c r="C99" s="23"/>
      <c r="D99" s="18"/>
      <c r="E99" s="19">
        <v>1000</v>
      </c>
      <c r="F99" s="20">
        <f t="shared" si="0"/>
        <v>95570</v>
      </c>
      <c r="G99" s="8"/>
    </row>
    <row r="100" spans="1:7">
      <c r="A100" s="15"/>
      <c r="B100" s="43" t="s">
        <v>121</v>
      </c>
      <c r="C100" s="23"/>
      <c r="D100" s="18"/>
      <c r="E100" s="19">
        <v>2500</v>
      </c>
      <c r="F100" s="20">
        <f t="shared" si="0"/>
        <v>93070</v>
      </c>
      <c r="G100" s="8"/>
    </row>
    <row r="101" spans="1:7">
      <c r="A101" s="15"/>
      <c r="B101" s="43" t="s">
        <v>125</v>
      </c>
      <c r="C101" s="23"/>
      <c r="D101" s="18"/>
      <c r="E101" s="19">
        <v>700</v>
      </c>
      <c r="F101" s="20">
        <f t="shared" si="0"/>
        <v>92370</v>
      </c>
      <c r="G101" s="8"/>
    </row>
    <row r="102" spans="1:7">
      <c r="A102" s="15"/>
      <c r="B102" s="43" t="s">
        <v>124</v>
      </c>
      <c r="C102" s="23"/>
      <c r="D102" s="18"/>
      <c r="E102" s="19"/>
      <c r="F102" s="20">
        <f t="shared" si="0"/>
        <v>92370</v>
      </c>
      <c r="G102" s="8"/>
    </row>
    <row r="103" spans="1:7">
      <c r="A103" s="15">
        <v>45367</v>
      </c>
      <c r="B103" s="43" t="s">
        <v>14</v>
      </c>
      <c r="C103" s="23">
        <v>91200</v>
      </c>
      <c r="D103" s="18"/>
      <c r="E103" s="19"/>
      <c r="F103" s="20">
        <f t="shared" si="0"/>
        <v>183570</v>
      </c>
      <c r="G103" s="8"/>
    </row>
    <row r="104" spans="1:7">
      <c r="A104" s="15"/>
      <c r="B104" s="43" t="s">
        <v>133</v>
      </c>
      <c r="C104" s="23"/>
      <c r="D104" s="18"/>
      <c r="E104" s="19">
        <v>5500</v>
      </c>
      <c r="F104" s="20">
        <f t="shared" si="0"/>
        <v>178070</v>
      </c>
      <c r="G104" s="8"/>
    </row>
    <row r="105" spans="1:7">
      <c r="A105" s="15"/>
      <c r="B105" s="43" t="s">
        <v>134</v>
      </c>
      <c r="C105" s="23"/>
      <c r="D105" s="18"/>
      <c r="E105" s="19">
        <v>3800</v>
      </c>
      <c r="F105" s="20">
        <f t="shared" si="0"/>
        <v>174270</v>
      </c>
      <c r="G105" s="8"/>
    </row>
    <row r="106" spans="1:7">
      <c r="A106" s="15"/>
      <c r="B106" s="43" t="s">
        <v>135</v>
      </c>
      <c r="C106" s="23"/>
      <c r="D106" s="18"/>
      <c r="E106" s="19">
        <v>7600</v>
      </c>
      <c r="F106" s="20">
        <f t="shared" si="0"/>
        <v>166670</v>
      </c>
      <c r="G106" s="8"/>
    </row>
    <row r="107" spans="1:7">
      <c r="A107" s="15"/>
      <c r="B107" s="43" t="s">
        <v>136</v>
      </c>
      <c r="C107" s="23"/>
      <c r="D107" s="18"/>
      <c r="E107" s="19">
        <v>5000</v>
      </c>
      <c r="F107" s="20">
        <f t="shared" si="0"/>
        <v>161670</v>
      </c>
      <c r="G107" s="8"/>
    </row>
    <row r="108" spans="1:7">
      <c r="A108" s="15"/>
      <c r="B108" s="43" t="s">
        <v>137</v>
      </c>
      <c r="C108" s="23"/>
      <c r="D108" s="18"/>
      <c r="E108" s="19">
        <v>4700</v>
      </c>
      <c r="F108" s="20">
        <f t="shared" si="0"/>
        <v>156970</v>
      </c>
      <c r="G108" s="8"/>
    </row>
    <row r="109" spans="1:7">
      <c r="A109" s="15" t="s">
        <v>144</v>
      </c>
      <c r="B109" s="101" t="s">
        <v>14</v>
      </c>
      <c r="C109" s="23">
        <v>43750</v>
      </c>
      <c r="D109" s="18"/>
      <c r="E109" s="19"/>
      <c r="F109" s="20">
        <f t="shared" si="0"/>
        <v>200720</v>
      </c>
      <c r="G109" s="8"/>
    </row>
    <row r="110" spans="1:7">
      <c r="A110" s="15"/>
      <c r="B110" s="43"/>
      <c r="C110" s="23"/>
      <c r="D110" s="18"/>
      <c r="E110" s="19"/>
      <c r="F110" s="20"/>
      <c r="G110" s="8"/>
    </row>
    <row r="111" spans="1:7">
      <c r="A111" s="15">
        <v>45369</v>
      </c>
      <c r="B111" s="99" t="s">
        <v>14</v>
      </c>
      <c r="C111" s="23">
        <v>80600</v>
      </c>
      <c r="D111" s="18"/>
      <c r="E111" s="19"/>
      <c r="F111" s="20">
        <f>+F109+C111-D111-E111</f>
        <v>281320</v>
      </c>
      <c r="G111" s="8"/>
    </row>
    <row r="112" spans="1:7">
      <c r="A112" s="15"/>
      <c r="B112" s="43" t="s">
        <v>138</v>
      </c>
      <c r="C112" s="23"/>
      <c r="D112" s="18"/>
      <c r="E112" s="19">
        <v>9500</v>
      </c>
      <c r="F112" s="20">
        <f t="shared" si="0"/>
        <v>271820</v>
      </c>
      <c r="G112" s="8"/>
    </row>
    <row r="113" spans="1:7">
      <c r="A113" s="15"/>
      <c r="B113" s="43" t="s">
        <v>150</v>
      </c>
      <c r="C113" s="23"/>
      <c r="D113" s="18"/>
      <c r="E113" s="19">
        <v>800</v>
      </c>
      <c r="F113" s="20">
        <f t="shared" si="0"/>
        <v>271020</v>
      </c>
      <c r="G113" s="8"/>
    </row>
    <row r="114" spans="1:7">
      <c r="A114" s="15"/>
      <c r="B114" s="43" t="s">
        <v>139</v>
      </c>
      <c r="C114" s="23"/>
      <c r="D114" s="18"/>
      <c r="E114" s="19"/>
      <c r="F114" s="20">
        <f t="shared" si="0"/>
        <v>271020</v>
      </c>
      <c r="G114" s="8"/>
    </row>
    <row r="115" spans="1:7">
      <c r="A115" s="15"/>
      <c r="B115" s="43" t="s">
        <v>140</v>
      </c>
      <c r="C115" s="23"/>
      <c r="D115" s="18"/>
      <c r="E115" s="19">
        <v>37000</v>
      </c>
      <c r="F115" s="20">
        <f t="shared" si="0"/>
        <v>234020</v>
      </c>
      <c r="G115" s="8"/>
    </row>
    <row r="116" spans="1:7">
      <c r="A116" s="15"/>
      <c r="B116" s="43" t="s">
        <v>151</v>
      </c>
      <c r="C116" s="23"/>
      <c r="D116" s="18"/>
      <c r="E116" s="19">
        <v>3000</v>
      </c>
      <c r="F116" s="20">
        <f t="shared" si="0"/>
        <v>231020</v>
      </c>
      <c r="G116" s="8"/>
    </row>
    <row r="117" spans="1:7">
      <c r="A117" s="15"/>
      <c r="B117" s="43" t="s">
        <v>152</v>
      </c>
      <c r="C117" s="23"/>
      <c r="D117" s="18"/>
      <c r="E117" s="19">
        <v>1000</v>
      </c>
      <c r="F117" s="20">
        <f t="shared" si="0"/>
        <v>230020</v>
      </c>
      <c r="G117" s="8"/>
    </row>
    <row r="118" spans="1:7">
      <c r="A118" s="15"/>
      <c r="B118" s="43"/>
      <c r="C118" s="23"/>
      <c r="D118" s="18"/>
      <c r="E118" s="19"/>
      <c r="F118" s="20">
        <f t="shared" si="0"/>
        <v>230020</v>
      </c>
      <c r="G118" s="8"/>
    </row>
    <row r="119" spans="1:7">
      <c r="A119" s="15">
        <v>45370</v>
      </c>
      <c r="B119" s="103" t="s">
        <v>14</v>
      </c>
      <c r="C119" s="23">
        <v>35500</v>
      </c>
      <c r="D119" s="18"/>
      <c r="E119" s="19"/>
      <c r="F119" s="20">
        <f t="shared" si="0"/>
        <v>265520</v>
      </c>
      <c r="G119" s="8"/>
    </row>
    <row r="120" spans="1:7">
      <c r="A120" s="15"/>
      <c r="B120" s="43" t="s">
        <v>148</v>
      </c>
      <c r="C120" s="23"/>
      <c r="D120" s="18"/>
      <c r="E120" s="19">
        <v>7500</v>
      </c>
      <c r="F120" s="20">
        <f t="shared" si="0"/>
        <v>258020</v>
      </c>
      <c r="G120" s="8"/>
    </row>
    <row r="121" spans="1:7">
      <c r="A121" s="15"/>
      <c r="B121" s="43" t="s">
        <v>157</v>
      </c>
      <c r="C121" s="23"/>
      <c r="D121" s="18"/>
      <c r="E121" s="19">
        <v>1000</v>
      </c>
      <c r="F121" s="20">
        <f t="shared" si="0"/>
        <v>257020</v>
      </c>
      <c r="G121" s="8"/>
    </row>
    <row r="122" spans="1:7">
      <c r="A122" s="15"/>
      <c r="B122" s="43" t="s">
        <v>149</v>
      </c>
      <c r="C122" s="23"/>
      <c r="D122" s="18"/>
      <c r="E122" s="19">
        <v>700</v>
      </c>
      <c r="F122" s="20">
        <f t="shared" si="0"/>
        <v>256320</v>
      </c>
      <c r="G122" s="8"/>
    </row>
    <row r="123" spans="1:7">
      <c r="A123" s="15"/>
      <c r="B123" s="43" t="s">
        <v>153</v>
      </c>
      <c r="C123" s="23"/>
      <c r="D123" s="18"/>
      <c r="E123" s="19">
        <v>4000</v>
      </c>
      <c r="F123" s="20">
        <f t="shared" si="0"/>
        <v>252320</v>
      </c>
      <c r="G123" s="8"/>
    </row>
    <row r="124" spans="1:7">
      <c r="A124" s="15"/>
      <c r="B124" s="43" t="s">
        <v>155</v>
      </c>
      <c r="C124" s="23"/>
      <c r="D124" s="18"/>
      <c r="E124" s="19">
        <v>20000</v>
      </c>
      <c r="F124" s="20">
        <f t="shared" si="0"/>
        <v>232320</v>
      </c>
      <c r="G124" s="8"/>
    </row>
    <row r="125" spans="1:7">
      <c r="A125" s="15"/>
      <c r="B125" s="43" t="s">
        <v>154</v>
      </c>
      <c r="C125" s="23"/>
      <c r="D125" s="18"/>
      <c r="E125" s="19">
        <v>800</v>
      </c>
      <c r="F125" s="20">
        <f t="shared" si="0"/>
        <v>231520</v>
      </c>
      <c r="G125" s="8"/>
    </row>
    <row r="126" spans="1:7" ht="18" customHeight="1">
      <c r="A126" s="15"/>
      <c r="B126" s="43" t="s">
        <v>158</v>
      </c>
      <c r="C126" s="23"/>
      <c r="D126" s="18"/>
      <c r="E126" s="19">
        <v>76000</v>
      </c>
      <c r="F126" s="20">
        <f t="shared" si="0"/>
        <v>155520</v>
      </c>
      <c r="G126" s="8"/>
    </row>
    <row r="127" spans="1:7">
      <c r="A127" s="15"/>
      <c r="B127" s="43" t="s">
        <v>156</v>
      </c>
      <c r="C127" s="23"/>
      <c r="D127" s="18"/>
      <c r="E127" s="19">
        <v>1000</v>
      </c>
      <c r="F127" s="20">
        <f t="shared" si="0"/>
        <v>154520</v>
      </c>
      <c r="G127" s="8"/>
    </row>
    <row r="128" spans="1:7">
      <c r="A128" s="15"/>
      <c r="B128" s="43"/>
      <c r="C128" s="23"/>
      <c r="D128" s="18"/>
      <c r="E128" s="19"/>
      <c r="F128" s="20">
        <f t="shared" si="0"/>
        <v>154520</v>
      </c>
      <c r="G128" s="8"/>
    </row>
    <row r="129" spans="1:7">
      <c r="A129" s="15"/>
      <c r="B129" s="43"/>
      <c r="C129" s="23"/>
      <c r="D129" s="18"/>
      <c r="E129" s="19"/>
      <c r="F129" s="20">
        <f t="shared" si="0"/>
        <v>154520</v>
      </c>
      <c r="G129" s="8"/>
    </row>
    <row r="130" spans="1:7">
      <c r="A130" s="15">
        <v>45371</v>
      </c>
      <c r="B130" s="103" t="s">
        <v>14</v>
      </c>
      <c r="C130" s="23">
        <v>99150</v>
      </c>
      <c r="D130" s="18"/>
      <c r="E130" s="19"/>
      <c r="F130" s="20">
        <f t="shared" si="0"/>
        <v>253670</v>
      </c>
      <c r="G130" s="8"/>
    </row>
    <row r="131" spans="1:7">
      <c r="A131" s="15"/>
      <c r="B131" s="43" t="s">
        <v>159</v>
      </c>
      <c r="C131" s="23"/>
      <c r="D131" s="18"/>
      <c r="E131" s="19">
        <v>2500</v>
      </c>
      <c r="F131" s="20">
        <f t="shared" si="0"/>
        <v>251170</v>
      </c>
      <c r="G131" s="8"/>
    </row>
    <row r="132" spans="1:7">
      <c r="A132" s="15"/>
      <c r="B132" s="43" t="s">
        <v>160</v>
      </c>
      <c r="C132" s="23"/>
      <c r="D132" s="18"/>
      <c r="E132" s="19">
        <v>200</v>
      </c>
      <c r="F132" s="20">
        <f t="shared" si="0"/>
        <v>250970</v>
      </c>
      <c r="G132" s="8"/>
    </row>
    <row r="133" spans="1:7">
      <c r="A133" s="15"/>
      <c r="B133" s="43" t="s">
        <v>161</v>
      </c>
      <c r="C133" s="23"/>
      <c r="D133" s="18"/>
      <c r="E133" s="19">
        <v>550</v>
      </c>
      <c r="F133" s="20">
        <f t="shared" si="0"/>
        <v>250420</v>
      </c>
      <c r="G133" s="8"/>
    </row>
    <row r="134" spans="1:7">
      <c r="A134" s="15"/>
      <c r="B134" s="43" t="s">
        <v>164</v>
      </c>
      <c r="C134" s="23"/>
      <c r="D134" s="18"/>
      <c r="E134" s="19">
        <v>1500</v>
      </c>
      <c r="F134" s="20">
        <f t="shared" si="0"/>
        <v>248920</v>
      </c>
      <c r="G134" s="8"/>
    </row>
    <row r="135" spans="1:7">
      <c r="A135" s="15"/>
      <c r="B135" s="43"/>
      <c r="C135" s="23"/>
      <c r="D135" s="18"/>
      <c r="E135" s="19"/>
      <c r="F135" s="20">
        <f t="shared" si="0"/>
        <v>248920</v>
      </c>
      <c r="G135" s="8"/>
    </row>
    <row r="136" spans="1:7">
      <c r="A136" s="15" t="s">
        <v>162</v>
      </c>
      <c r="B136" s="103" t="s">
        <v>14</v>
      </c>
      <c r="C136" s="23">
        <v>18000</v>
      </c>
      <c r="D136" s="18"/>
      <c r="E136" s="19"/>
      <c r="F136" s="20">
        <f t="shared" si="0"/>
        <v>266920</v>
      </c>
      <c r="G136" s="8"/>
    </row>
    <row r="137" spans="1:7">
      <c r="A137" s="15"/>
      <c r="B137" s="43" t="s">
        <v>163</v>
      </c>
      <c r="C137" s="23"/>
      <c r="D137" s="18"/>
      <c r="E137" s="19">
        <v>1100</v>
      </c>
      <c r="F137" s="20">
        <f t="shared" si="0"/>
        <v>265820</v>
      </c>
      <c r="G137" s="8"/>
    </row>
    <row r="138" spans="1:7">
      <c r="A138" s="15"/>
      <c r="B138" s="43" t="s">
        <v>166</v>
      </c>
      <c r="C138" s="23"/>
      <c r="D138" s="18"/>
      <c r="E138" s="19">
        <v>5000</v>
      </c>
      <c r="F138" s="20">
        <f t="shared" si="0"/>
        <v>260820</v>
      </c>
      <c r="G138" s="8"/>
    </row>
    <row r="139" spans="1:7">
      <c r="A139" s="15"/>
      <c r="B139" s="43" t="s">
        <v>171</v>
      </c>
      <c r="C139" s="23"/>
      <c r="D139" s="18"/>
      <c r="E139" s="19">
        <v>1500</v>
      </c>
      <c r="F139" s="20">
        <f t="shared" si="0"/>
        <v>259320</v>
      </c>
      <c r="G139" s="8"/>
    </row>
    <row r="140" spans="1:7">
      <c r="A140" s="15"/>
      <c r="B140" s="43" t="s">
        <v>172</v>
      </c>
      <c r="C140" s="23"/>
      <c r="D140" s="18"/>
      <c r="E140" s="19">
        <v>7400</v>
      </c>
      <c r="F140" s="20">
        <f t="shared" si="0"/>
        <v>251920</v>
      </c>
      <c r="G140" s="8"/>
    </row>
    <row r="141" spans="1:7">
      <c r="A141" s="15"/>
      <c r="B141" s="43" t="s">
        <v>173</v>
      </c>
      <c r="C141" s="23"/>
      <c r="D141" s="18"/>
      <c r="E141" s="19">
        <v>5000</v>
      </c>
      <c r="F141" s="20">
        <f t="shared" si="0"/>
        <v>246920</v>
      </c>
      <c r="G141" s="8"/>
    </row>
    <row r="142" spans="1:7">
      <c r="A142" s="15"/>
      <c r="B142" s="43" t="s">
        <v>174</v>
      </c>
      <c r="C142" s="23"/>
      <c r="D142" s="18"/>
      <c r="E142" s="19">
        <v>300</v>
      </c>
      <c r="F142" s="20">
        <f t="shared" si="0"/>
        <v>246620</v>
      </c>
      <c r="G142" s="8"/>
    </row>
    <row r="143" spans="1:7">
      <c r="A143" s="15"/>
      <c r="B143" s="43" t="s">
        <v>175</v>
      </c>
      <c r="C143" s="23"/>
      <c r="D143" s="18"/>
      <c r="E143" s="19">
        <v>800</v>
      </c>
      <c r="F143" s="20">
        <f t="shared" si="0"/>
        <v>245820</v>
      </c>
      <c r="G143" s="8"/>
    </row>
    <row r="144" spans="1:7">
      <c r="A144" s="15"/>
      <c r="B144" s="43" t="s">
        <v>176</v>
      </c>
      <c r="C144" s="23"/>
      <c r="D144" s="18"/>
      <c r="E144" s="19">
        <v>500</v>
      </c>
      <c r="F144" s="20">
        <f t="shared" si="0"/>
        <v>245320</v>
      </c>
      <c r="G144" s="8"/>
    </row>
    <row r="145" spans="1:7">
      <c r="A145" s="15"/>
      <c r="B145" s="43" t="s">
        <v>177</v>
      </c>
      <c r="C145" s="23"/>
      <c r="D145" s="18"/>
      <c r="E145" s="19">
        <v>40000</v>
      </c>
      <c r="F145" s="20">
        <f t="shared" si="0"/>
        <v>205320</v>
      </c>
      <c r="G145" s="8"/>
    </row>
    <row r="146" spans="1:7">
      <c r="A146" s="15"/>
      <c r="B146" s="43" t="s">
        <v>178</v>
      </c>
      <c r="C146" s="23"/>
      <c r="D146" s="18"/>
      <c r="E146" s="19">
        <v>166000</v>
      </c>
      <c r="F146" s="20">
        <f t="shared" si="0"/>
        <v>39320</v>
      </c>
      <c r="G146" s="8"/>
    </row>
    <row r="147" spans="1:7">
      <c r="A147" s="15"/>
      <c r="B147" s="43"/>
      <c r="C147" s="23"/>
      <c r="D147" s="18"/>
      <c r="E147" s="19"/>
      <c r="F147" s="20">
        <f t="shared" si="0"/>
        <v>39320</v>
      </c>
      <c r="G147" s="8"/>
    </row>
    <row r="148" spans="1:7">
      <c r="B148" s="43"/>
      <c r="C148" s="23"/>
      <c r="D148" s="18"/>
      <c r="E148" s="19"/>
      <c r="F148" s="20">
        <f t="shared" si="0"/>
        <v>39320</v>
      </c>
      <c r="G148" s="8"/>
    </row>
    <row r="149" spans="1:7">
      <c r="A149" s="109">
        <v>45373</v>
      </c>
      <c r="B149" s="110" t="s">
        <v>14</v>
      </c>
      <c r="C149" s="23">
        <v>47250</v>
      </c>
      <c r="D149" s="18"/>
      <c r="E149" s="19"/>
      <c r="F149" s="20">
        <f t="shared" si="0"/>
        <v>86570</v>
      </c>
      <c r="G149" s="8"/>
    </row>
    <row r="150" spans="1:7">
      <c r="A150" s="15"/>
      <c r="B150" s="43"/>
      <c r="C150" s="23"/>
      <c r="D150" s="18"/>
      <c r="E150" s="19"/>
      <c r="F150" s="20">
        <f t="shared" si="0"/>
        <v>86570</v>
      </c>
      <c r="G150" s="8"/>
    </row>
    <row r="151" spans="1:7">
      <c r="A151" s="15"/>
      <c r="B151" s="43" t="s">
        <v>189</v>
      </c>
      <c r="C151" s="23"/>
      <c r="D151" s="18"/>
      <c r="E151" s="19"/>
      <c r="F151" s="20">
        <f t="shared" si="0"/>
        <v>86570</v>
      </c>
      <c r="G151" s="8"/>
    </row>
    <row r="152" spans="1:7">
      <c r="A152" s="15"/>
      <c r="B152" s="43" t="s">
        <v>190</v>
      </c>
      <c r="C152" s="23"/>
      <c r="D152" s="18"/>
      <c r="E152" s="19">
        <v>6200</v>
      </c>
      <c r="F152" s="20">
        <f t="shared" si="0"/>
        <v>80370</v>
      </c>
      <c r="G152" s="8"/>
    </row>
    <row r="153" spans="1:7">
      <c r="A153" s="15"/>
      <c r="B153" s="43"/>
      <c r="C153" s="23"/>
      <c r="D153" s="18"/>
      <c r="E153" s="19"/>
      <c r="F153" s="20">
        <f t="shared" si="0"/>
        <v>80370</v>
      </c>
      <c r="G153" s="8"/>
    </row>
    <row r="154" spans="1:7">
      <c r="A154" s="15">
        <v>45374</v>
      </c>
      <c r="B154" s="112" t="s">
        <v>14</v>
      </c>
      <c r="C154" s="113">
        <v>105400</v>
      </c>
      <c r="D154" s="18"/>
      <c r="E154" s="19"/>
      <c r="F154" s="20">
        <f t="shared" si="0"/>
        <v>185770</v>
      </c>
      <c r="G154" s="8"/>
    </row>
    <row r="155" spans="1:7">
      <c r="A155" s="15"/>
      <c r="B155" s="43" t="s">
        <v>191</v>
      </c>
      <c r="C155" s="23"/>
      <c r="D155" s="18"/>
      <c r="E155" s="19">
        <v>3200</v>
      </c>
      <c r="F155" s="20">
        <f t="shared" si="0"/>
        <v>182570</v>
      </c>
      <c r="G155" s="8"/>
    </row>
    <row r="156" spans="1:7">
      <c r="A156" s="15">
        <v>45375</v>
      </c>
      <c r="B156" s="114" t="s">
        <v>14</v>
      </c>
      <c r="C156" s="23">
        <v>45550</v>
      </c>
      <c r="D156" s="18"/>
      <c r="E156" s="19"/>
      <c r="F156" s="20">
        <f t="shared" si="0"/>
        <v>228120</v>
      </c>
      <c r="G156" s="8"/>
    </row>
    <row r="157" spans="1:7">
      <c r="A157" s="15"/>
      <c r="B157" s="43" t="s">
        <v>199</v>
      </c>
      <c r="C157" s="23"/>
      <c r="D157" s="18"/>
      <c r="E157" s="19">
        <v>3000</v>
      </c>
      <c r="F157" s="20">
        <f t="shared" si="0"/>
        <v>225120</v>
      </c>
      <c r="G157" s="8"/>
    </row>
    <row r="158" spans="1:7">
      <c r="A158" s="15" t="s">
        <v>192</v>
      </c>
      <c r="B158" s="42" t="s">
        <v>14</v>
      </c>
      <c r="C158" s="23">
        <v>17700</v>
      </c>
      <c r="D158" s="18"/>
      <c r="E158" s="19"/>
      <c r="F158" s="20">
        <f t="shared" si="0"/>
        <v>242820</v>
      </c>
      <c r="G158" s="8"/>
    </row>
    <row r="159" spans="1:7">
      <c r="A159" s="15"/>
      <c r="B159" s="43"/>
      <c r="C159" s="23"/>
      <c r="D159" s="18"/>
      <c r="E159" s="19"/>
      <c r="F159" s="20">
        <f t="shared" si="0"/>
        <v>242820</v>
      </c>
      <c r="G159" s="8"/>
    </row>
    <row r="160" spans="1:7">
      <c r="A160" s="15"/>
      <c r="B160" s="43" t="s">
        <v>193</v>
      </c>
      <c r="C160" s="23"/>
      <c r="D160" s="18"/>
      <c r="E160" s="19">
        <v>3000</v>
      </c>
      <c r="F160" s="20">
        <f t="shared" si="0"/>
        <v>239820</v>
      </c>
      <c r="G160" s="8"/>
    </row>
    <row r="161" spans="1:7">
      <c r="A161" s="15"/>
      <c r="B161" s="43" t="s">
        <v>197</v>
      </c>
      <c r="C161" s="23"/>
      <c r="D161" s="18"/>
      <c r="E161" s="19">
        <v>1000</v>
      </c>
      <c r="F161" s="20">
        <f t="shared" si="0"/>
        <v>238820</v>
      </c>
      <c r="G161" s="8"/>
    </row>
    <row r="162" spans="1:7">
      <c r="A162" s="15"/>
      <c r="B162" s="43" t="s">
        <v>194</v>
      </c>
      <c r="C162" s="23"/>
      <c r="D162" s="18"/>
      <c r="E162" s="19">
        <v>500</v>
      </c>
      <c r="F162" s="20">
        <f t="shared" si="0"/>
        <v>238320</v>
      </c>
      <c r="G162" s="8"/>
    </row>
    <row r="163" spans="1:7">
      <c r="A163" s="15"/>
      <c r="B163" s="43" t="s">
        <v>196</v>
      </c>
      <c r="C163" s="23"/>
      <c r="D163" s="18"/>
      <c r="E163" s="19">
        <v>400</v>
      </c>
      <c r="F163" s="20">
        <f t="shared" si="0"/>
        <v>237920</v>
      </c>
      <c r="G163" s="8"/>
    </row>
    <row r="164" spans="1:7">
      <c r="A164" s="15"/>
      <c r="B164" s="43" t="s">
        <v>165</v>
      </c>
      <c r="C164" s="23"/>
      <c r="D164" s="18"/>
      <c r="E164" s="19">
        <v>5500</v>
      </c>
      <c r="F164" s="20">
        <f t="shared" si="0"/>
        <v>232420</v>
      </c>
      <c r="G164" s="8"/>
    </row>
    <row r="165" spans="1:7">
      <c r="A165" s="15"/>
      <c r="B165" s="43" t="s">
        <v>200</v>
      </c>
      <c r="C165" s="23"/>
      <c r="D165" s="18"/>
      <c r="E165" s="19">
        <v>1000</v>
      </c>
      <c r="F165" s="20">
        <f t="shared" si="0"/>
        <v>231420</v>
      </c>
      <c r="G165" s="8"/>
    </row>
    <row r="166" spans="1:7">
      <c r="A166" s="15"/>
      <c r="B166" s="43" t="s">
        <v>201</v>
      </c>
      <c r="C166" s="23"/>
      <c r="D166" s="18"/>
      <c r="E166" s="19">
        <v>2000</v>
      </c>
      <c r="F166" s="20">
        <f t="shared" si="0"/>
        <v>229420</v>
      </c>
      <c r="G166" s="8"/>
    </row>
    <row r="167" spans="1:7">
      <c r="A167" s="15"/>
      <c r="B167" s="43" t="s">
        <v>202</v>
      </c>
      <c r="C167" s="23"/>
      <c r="D167" s="18"/>
      <c r="E167" s="19">
        <v>500</v>
      </c>
      <c r="F167" s="20">
        <f t="shared" si="0"/>
        <v>228920</v>
      </c>
      <c r="G167" s="8"/>
    </row>
    <row r="168" spans="1:7">
      <c r="A168" s="15"/>
      <c r="B168" s="43" t="s">
        <v>195</v>
      </c>
      <c r="C168" s="23"/>
      <c r="D168" s="18"/>
      <c r="E168" s="19">
        <v>5000</v>
      </c>
      <c r="F168" s="20">
        <f t="shared" si="0"/>
        <v>223920</v>
      </c>
      <c r="G168" s="8"/>
    </row>
    <row r="169" spans="1:7">
      <c r="A169" s="15"/>
      <c r="B169" s="43" t="s">
        <v>203</v>
      </c>
      <c r="C169" s="23"/>
      <c r="D169" s="18"/>
      <c r="E169" s="19">
        <v>500</v>
      </c>
      <c r="F169" s="20">
        <f t="shared" si="0"/>
        <v>223420</v>
      </c>
      <c r="G169" s="8"/>
    </row>
    <row r="170" spans="1:7">
      <c r="A170" s="15"/>
      <c r="B170" s="43" t="s">
        <v>204</v>
      </c>
      <c r="C170" s="23"/>
      <c r="D170" s="18"/>
      <c r="E170" s="19">
        <v>550</v>
      </c>
      <c r="F170" s="20">
        <f t="shared" si="0"/>
        <v>222870</v>
      </c>
      <c r="G170" s="8"/>
    </row>
    <row r="171" spans="1:7">
      <c r="A171" s="15"/>
      <c r="B171" s="43" t="s">
        <v>205</v>
      </c>
      <c r="C171" s="23"/>
      <c r="D171" s="18"/>
      <c r="E171" s="19">
        <v>500</v>
      </c>
      <c r="F171" s="20">
        <f t="shared" si="0"/>
        <v>222370</v>
      </c>
      <c r="G171" s="8"/>
    </row>
    <row r="172" spans="1:7">
      <c r="A172" s="15">
        <v>45377</v>
      </c>
      <c r="B172" s="118" t="s">
        <v>14</v>
      </c>
      <c r="C172" s="23">
        <v>29650</v>
      </c>
      <c r="D172" s="18"/>
      <c r="E172" s="19"/>
      <c r="F172" s="20">
        <f t="shared" si="0"/>
        <v>252020</v>
      </c>
      <c r="G172" s="8"/>
    </row>
    <row r="173" spans="1:7">
      <c r="A173" s="15"/>
      <c r="B173" s="43" t="s">
        <v>212</v>
      </c>
      <c r="C173" s="23">
        <v>7000</v>
      </c>
      <c r="D173" s="18"/>
      <c r="E173" s="19"/>
      <c r="F173" s="20">
        <f t="shared" si="0"/>
        <v>259020</v>
      </c>
      <c r="G173" s="8"/>
    </row>
    <row r="174" spans="1:7">
      <c r="A174" s="15"/>
      <c r="B174" s="43"/>
      <c r="C174" s="23"/>
      <c r="D174" s="18"/>
      <c r="E174" s="19"/>
      <c r="F174" s="20">
        <f t="shared" si="0"/>
        <v>259020</v>
      </c>
      <c r="G174" s="8"/>
    </row>
    <row r="175" spans="1:7">
      <c r="A175" s="15"/>
      <c r="B175" s="43" t="s">
        <v>213</v>
      </c>
      <c r="C175" s="23"/>
      <c r="D175" s="18"/>
      <c r="E175" s="19">
        <v>500</v>
      </c>
      <c r="F175" s="20">
        <f t="shared" si="0"/>
        <v>258520</v>
      </c>
      <c r="G175" s="8"/>
    </row>
    <row r="176" spans="1:7">
      <c r="A176" s="15"/>
      <c r="B176" s="43" t="s">
        <v>214</v>
      </c>
      <c r="C176" s="23"/>
      <c r="D176" s="18"/>
      <c r="E176" s="19">
        <v>1000</v>
      </c>
      <c r="F176" s="20">
        <f t="shared" si="0"/>
        <v>257520</v>
      </c>
      <c r="G176" s="8"/>
    </row>
    <row r="177" spans="1:7">
      <c r="A177" s="15">
        <v>45378</v>
      </c>
      <c r="B177" s="103" t="s">
        <v>14</v>
      </c>
      <c r="C177" s="23">
        <v>43700</v>
      </c>
      <c r="D177" s="18"/>
      <c r="E177" s="19"/>
      <c r="F177" s="20">
        <f t="shared" si="0"/>
        <v>301220</v>
      </c>
      <c r="G177" s="8"/>
    </row>
    <row r="178" spans="1:7">
      <c r="A178" s="15"/>
      <c r="B178" s="43" t="s">
        <v>237</v>
      </c>
      <c r="C178" s="23"/>
      <c r="D178" s="18"/>
      <c r="E178" s="19">
        <v>9300</v>
      </c>
      <c r="F178" s="20">
        <f t="shared" si="0"/>
        <v>291920</v>
      </c>
      <c r="G178" s="8"/>
    </row>
    <row r="179" spans="1:7">
      <c r="A179" s="15"/>
      <c r="B179" s="43" t="s">
        <v>238</v>
      </c>
      <c r="C179" s="23"/>
      <c r="D179" s="18"/>
      <c r="E179" s="19">
        <v>400</v>
      </c>
      <c r="F179" s="20">
        <f t="shared" si="0"/>
        <v>291520</v>
      </c>
      <c r="G179" s="8"/>
    </row>
    <row r="180" spans="1:7">
      <c r="A180" s="15"/>
      <c r="B180" s="43" t="s">
        <v>239</v>
      </c>
      <c r="C180" s="23"/>
      <c r="D180" s="18"/>
      <c r="E180" s="19">
        <v>2500</v>
      </c>
      <c r="F180" s="20">
        <f t="shared" si="0"/>
        <v>289020</v>
      </c>
      <c r="G180" s="8"/>
    </row>
    <row r="181" spans="1:7">
      <c r="A181" s="15"/>
      <c r="B181" s="43" t="s">
        <v>240</v>
      </c>
      <c r="C181" s="23"/>
      <c r="D181" s="18"/>
      <c r="E181" s="19">
        <v>4000</v>
      </c>
      <c r="F181" s="20">
        <f t="shared" si="0"/>
        <v>285020</v>
      </c>
      <c r="G181" s="8"/>
    </row>
    <row r="182" spans="1:7">
      <c r="A182" s="15"/>
      <c r="B182" s="43" t="s">
        <v>241</v>
      </c>
      <c r="C182" s="23"/>
      <c r="D182" s="18"/>
      <c r="E182" s="19">
        <v>500</v>
      </c>
      <c r="F182" s="20">
        <f t="shared" si="0"/>
        <v>284520</v>
      </c>
      <c r="G182" s="8"/>
    </row>
    <row r="183" spans="1:7">
      <c r="A183" s="15"/>
      <c r="B183" s="43" t="s">
        <v>242</v>
      </c>
      <c r="C183" s="23"/>
      <c r="D183" s="18"/>
      <c r="E183" s="19">
        <v>500</v>
      </c>
      <c r="F183" s="20">
        <f t="shared" si="0"/>
        <v>284020</v>
      </c>
      <c r="G183" s="8"/>
    </row>
    <row r="184" spans="1:7">
      <c r="A184" s="15"/>
      <c r="B184" s="43" t="s">
        <v>243</v>
      </c>
      <c r="C184" s="23"/>
      <c r="D184" s="18"/>
      <c r="E184" s="19">
        <v>1000</v>
      </c>
      <c r="F184" s="20">
        <f t="shared" si="0"/>
        <v>283020</v>
      </c>
      <c r="G184" s="8"/>
    </row>
    <row r="185" spans="1:7">
      <c r="A185" s="15"/>
      <c r="B185" s="43" t="s">
        <v>244</v>
      </c>
      <c r="C185" s="23"/>
      <c r="D185" s="18"/>
      <c r="E185" s="19">
        <v>500</v>
      </c>
      <c r="F185" s="20">
        <f t="shared" si="0"/>
        <v>282520</v>
      </c>
      <c r="G185" s="8"/>
    </row>
    <row r="186" spans="1:7">
      <c r="A186" s="15">
        <v>45379</v>
      </c>
      <c r="B186" s="103" t="s">
        <v>14</v>
      </c>
      <c r="C186" s="23">
        <v>34050</v>
      </c>
      <c r="D186" s="18"/>
      <c r="E186" s="19"/>
      <c r="F186" s="20">
        <f t="shared" si="0"/>
        <v>316570</v>
      </c>
      <c r="G186" s="8"/>
    </row>
    <row r="187" spans="1:7">
      <c r="A187" s="15"/>
      <c r="B187" s="43" t="s">
        <v>245</v>
      </c>
      <c r="C187" s="23"/>
      <c r="D187" s="18"/>
      <c r="E187" s="19">
        <v>4100</v>
      </c>
      <c r="F187" s="20">
        <f t="shared" si="0"/>
        <v>312470</v>
      </c>
      <c r="G187" s="8"/>
    </row>
    <row r="188" spans="1:7">
      <c r="A188" s="15"/>
      <c r="B188" s="43" t="s">
        <v>246</v>
      </c>
      <c r="C188" s="23"/>
      <c r="D188" s="18"/>
      <c r="E188" s="19">
        <v>400</v>
      </c>
      <c r="F188" s="20">
        <f t="shared" si="0"/>
        <v>312070</v>
      </c>
      <c r="G188" s="8"/>
    </row>
    <row r="189" spans="1:7">
      <c r="A189" s="15"/>
      <c r="B189" s="43" t="s">
        <v>247</v>
      </c>
      <c r="C189" s="23"/>
      <c r="D189" s="18"/>
      <c r="E189" s="19">
        <v>5500</v>
      </c>
      <c r="F189" s="20">
        <f t="shared" si="0"/>
        <v>306570</v>
      </c>
      <c r="G189" s="8"/>
    </row>
    <row r="190" spans="1:7">
      <c r="A190" s="15"/>
      <c r="B190" s="43" t="s">
        <v>248</v>
      </c>
      <c r="C190" s="23"/>
      <c r="D190" s="18"/>
      <c r="E190" s="19">
        <v>3000</v>
      </c>
      <c r="F190" s="20">
        <f t="shared" si="0"/>
        <v>303570</v>
      </c>
      <c r="G190" s="8"/>
    </row>
    <row r="191" spans="1:7">
      <c r="A191" s="15"/>
      <c r="B191" s="43" t="s">
        <v>249</v>
      </c>
      <c r="C191" s="23"/>
      <c r="D191" s="18"/>
      <c r="E191" s="19">
        <v>1000</v>
      </c>
      <c r="F191" s="20">
        <f t="shared" si="0"/>
        <v>302570</v>
      </c>
      <c r="G191" s="8"/>
    </row>
    <row r="192" spans="1:7">
      <c r="A192" s="15"/>
      <c r="B192" s="43" t="s">
        <v>261</v>
      </c>
      <c r="C192" s="23"/>
      <c r="D192" s="18"/>
      <c r="E192" s="19">
        <v>2400</v>
      </c>
      <c r="F192" s="20">
        <f t="shared" si="0"/>
        <v>300170</v>
      </c>
      <c r="G192" s="8"/>
    </row>
    <row r="193" spans="1:7">
      <c r="A193" s="15"/>
      <c r="B193" s="43"/>
      <c r="C193" s="23"/>
      <c r="D193" s="18"/>
      <c r="E193" s="19"/>
      <c r="F193" s="20">
        <f t="shared" si="0"/>
        <v>300170</v>
      </c>
      <c r="G193" s="8"/>
    </row>
    <row r="194" spans="1:7">
      <c r="A194" s="15">
        <v>45380</v>
      </c>
      <c r="B194" s="42" t="s">
        <v>14</v>
      </c>
      <c r="C194" s="23">
        <v>34750</v>
      </c>
      <c r="D194" s="18"/>
      <c r="E194" s="19"/>
      <c r="F194" s="20">
        <f t="shared" si="0"/>
        <v>334920</v>
      </c>
      <c r="G194" s="8"/>
    </row>
    <row r="195" spans="1:7">
      <c r="A195" s="15"/>
      <c r="B195" s="43" t="s">
        <v>250</v>
      </c>
      <c r="C195" s="23"/>
      <c r="D195" s="18"/>
      <c r="E195" s="19">
        <v>18500</v>
      </c>
      <c r="F195" s="20">
        <f t="shared" si="0"/>
        <v>316420</v>
      </c>
      <c r="G195" s="8"/>
    </row>
    <row r="196" spans="1:7">
      <c r="A196" s="15"/>
      <c r="B196" s="43" t="s">
        <v>251</v>
      </c>
      <c r="C196" s="23"/>
      <c r="D196" s="18"/>
      <c r="E196" s="19">
        <v>1500</v>
      </c>
      <c r="F196" s="20">
        <f t="shared" si="0"/>
        <v>314920</v>
      </c>
      <c r="G196" s="8"/>
    </row>
    <row r="197" spans="1:7">
      <c r="A197" s="15"/>
      <c r="B197" s="43" t="s">
        <v>252</v>
      </c>
      <c r="C197" s="23"/>
      <c r="D197" s="18"/>
      <c r="E197" s="19">
        <v>215000</v>
      </c>
      <c r="F197" s="20">
        <f t="shared" si="0"/>
        <v>99920</v>
      </c>
      <c r="G197" s="8"/>
    </row>
    <row r="198" spans="1:7">
      <c r="A198" s="15"/>
      <c r="B198" s="43" t="s">
        <v>253</v>
      </c>
      <c r="C198" s="23"/>
      <c r="D198" s="18"/>
      <c r="E198" s="19">
        <v>1000</v>
      </c>
      <c r="F198" s="20">
        <f t="shared" si="0"/>
        <v>98920</v>
      </c>
      <c r="G198" s="8"/>
    </row>
    <row r="199" spans="1:7">
      <c r="A199" s="15"/>
      <c r="B199" s="43" t="s">
        <v>246</v>
      </c>
      <c r="C199" s="23"/>
      <c r="D199" s="18"/>
      <c r="E199" s="19">
        <v>400</v>
      </c>
      <c r="F199" s="20">
        <f t="shared" si="0"/>
        <v>98520</v>
      </c>
      <c r="G199" s="8"/>
    </row>
    <row r="200" spans="1:7">
      <c r="A200" s="15"/>
      <c r="B200" s="43" t="s">
        <v>267</v>
      </c>
      <c r="C200" s="23"/>
      <c r="D200" s="18"/>
      <c r="E200" s="19">
        <v>1000</v>
      </c>
      <c r="F200" s="20">
        <f t="shared" si="0"/>
        <v>97520</v>
      </c>
      <c r="G200" s="8"/>
    </row>
    <row r="201" spans="1:7">
      <c r="A201" s="15"/>
      <c r="B201" s="43" t="s">
        <v>266</v>
      </c>
      <c r="C201" s="23"/>
      <c r="D201" s="18"/>
      <c r="E201" s="19">
        <v>6800</v>
      </c>
      <c r="F201" s="20">
        <f t="shared" si="0"/>
        <v>90720</v>
      </c>
      <c r="G201" s="8"/>
    </row>
    <row r="202" spans="1:7">
      <c r="A202" s="15"/>
      <c r="B202" s="43" t="s">
        <v>265</v>
      </c>
      <c r="C202" s="23"/>
      <c r="D202" s="18"/>
      <c r="E202" s="19">
        <v>1000</v>
      </c>
      <c r="F202" s="20">
        <f t="shared" si="0"/>
        <v>89720</v>
      </c>
      <c r="G202" s="8"/>
    </row>
    <row r="203" spans="1:7">
      <c r="A203" s="15"/>
      <c r="B203" s="43" t="s">
        <v>86</v>
      </c>
      <c r="C203" s="23"/>
      <c r="D203" s="18"/>
      <c r="E203" s="19">
        <v>500</v>
      </c>
      <c r="F203" s="20">
        <f t="shared" si="0"/>
        <v>89220</v>
      </c>
      <c r="G203" s="8"/>
    </row>
    <row r="204" spans="1:7">
      <c r="A204" s="15"/>
      <c r="B204" s="43" t="s">
        <v>264</v>
      </c>
      <c r="C204" s="23"/>
      <c r="D204" s="18"/>
      <c r="E204" s="19">
        <v>1000</v>
      </c>
      <c r="F204" s="20">
        <f t="shared" si="0"/>
        <v>88220</v>
      </c>
      <c r="G204" s="8"/>
    </row>
    <row r="205" spans="1:7">
      <c r="A205" s="15"/>
      <c r="B205" s="43" t="s">
        <v>263</v>
      </c>
      <c r="C205" s="23"/>
      <c r="D205" s="18"/>
      <c r="E205" s="19">
        <v>2400</v>
      </c>
      <c r="F205" s="20">
        <f t="shared" si="0"/>
        <v>85820</v>
      </c>
      <c r="G205" s="8"/>
    </row>
    <row r="206" spans="1:7">
      <c r="A206" s="15"/>
      <c r="B206" s="43"/>
      <c r="C206" s="23"/>
      <c r="D206" s="18"/>
      <c r="E206" s="19"/>
      <c r="F206" s="20">
        <f t="shared" si="0"/>
        <v>85820</v>
      </c>
      <c r="G206" s="8"/>
    </row>
    <row r="207" spans="1:7">
      <c r="A207" s="15">
        <v>45381</v>
      </c>
      <c r="B207" s="42" t="s">
        <v>14</v>
      </c>
      <c r="C207" s="23">
        <v>31500</v>
      </c>
      <c r="D207" s="18"/>
      <c r="E207" s="19"/>
      <c r="F207" s="20">
        <f t="shared" si="0"/>
        <v>117320</v>
      </c>
      <c r="G207" s="8"/>
    </row>
    <row r="208" spans="1:7">
      <c r="A208" s="15"/>
      <c r="B208" s="43" t="s">
        <v>268</v>
      </c>
      <c r="C208" s="23"/>
      <c r="D208" s="18"/>
      <c r="E208" s="19">
        <v>2500</v>
      </c>
      <c r="F208" s="20">
        <f t="shared" si="0"/>
        <v>114820</v>
      </c>
      <c r="G208" s="8"/>
    </row>
    <row r="209" spans="1:7">
      <c r="A209" s="15"/>
      <c r="B209" s="43" t="s">
        <v>274</v>
      </c>
      <c r="C209" s="23"/>
      <c r="D209" s="18"/>
      <c r="E209" s="19">
        <v>2000</v>
      </c>
      <c r="F209" s="20">
        <f t="shared" si="0"/>
        <v>112820</v>
      </c>
      <c r="G209" s="8"/>
    </row>
    <row r="210" spans="1:7">
      <c r="A210" s="15"/>
      <c r="B210" s="43" t="s">
        <v>273</v>
      </c>
      <c r="C210" s="23"/>
      <c r="D210" s="18"/>
      <c r="E210" s="19">
        <v>500</v>
      </c>
      <c r="F210" s="20">
        <f t="shared" si="0"/>
        <v>112320</v>
      </c>
      <c r="G210" s="8"/>
    </row>
    <row r="211" spans="1:7">
      <c r="A211" s="15"/>
      <c r="B211" s="43" t="s">
        <v>272</v>
      </c>
      <c r="C211" s="23"/>
      <c r="D211" s="18"/>
      <c r="E211" s="19">
        <v>2500</v>
      </c>
      <c r="F211" s="20">
        <f t="shared" si="0"/>
        <v>109820</v>
      </c>
      <c r="G211" s="8"/>
    </row>
    <row r="212" spans="1:7">
      <c r="A212" s="15"/>
      <c r="B212" s="43" t="s">
        <v>271</v>
      </c>
      <c r="C212" s="23"/>
      <c r="D212" s="18"/>
      <c r="E212" s="19">
        <v>700</v>
      </c>
      <c r="F212" s="20">
        <f t="shared" si="0"/>
        <v>109120</v>
      </c>
      <c r="G212" s="8"/>
    </row>
    <row r="213" spans="1:7">
      <c r="A213" s="15"/>
      <c r="B213" s="43" t="s">
        <v>270</v>
      </c>
      <c r="C213" s="23"/>
      <c r="D213" s="18"/>
      <c r="E213" s="19">
        <v>1500</v>
      </c>
      <c r="F213" s="20">
        <f t="shared" si="0"/>
        <v>107620</v>
      </c>
      <c r="G213" s="8"/>
    </row>
    <row r="214" spans="1:7">
      <c r="A214" s="15"/>
      <c r="B214" s="43" t="s">
        <v>269</v>
      </c>
      <c r="C214" s="23"/>
      <c r="D214" s="18"/>
      <c r="E214" s="19">
        <v>2500</v>
      </c>
      <c r="F214" s="20">
        <f t="shared" si="0"/>
        <v>105120</v>
      </c>
      <c r="G214" s="8"/>
    </row>
    <row r="215" spans="1:7">
      <c r="A215" s="15"/>
      <c r="B215" s="43"/>
      <c r="C215" s="23"/>
      <c r="D215" s="18"/>
      <c r="E215" s="19"/>
      <c r="F215" s="20">
        <f t="shared" si="0"/>
        <v>105120</v>
      </c>
      <c r="G215" s="8"/>
    </row>
    <row r="216" spans="1:7">
      <c r="A216" s="15">
        <v>45382</v>
      </c>
      <c r="B216" s="42" t="s">
        <v>14</v>
      </c>
      <c r="C216" s="23"/>
      <c r="D216" s="18"/>
      <c r="E216" s="19"/>
      <c r="F216" s="20">
        <f t="shared" si="0"/>
        <v>105120</v>
      </c>
      <c r="G216" s="8"/>
    </row>
    <row r="217" spans="1:7">
      <c r="A217" s="15"/>
      <c r="B217" s="43"/>
      <c r="C217" s="23"/>
      <c r="D217" s="18"/>
      <c r="E217" s="19"/>
      <c r="F217" s="20">
        <f t="shared" si="0"/>
        <v>105120</v>
      </c>
      <c r="G217" s="8"/>
    </row>
    <row r="218" spans="1:7">
      <c r="A218" s="15"/>
      <c r="B218" s="43"/>
      <c r="C218" s="23"/>
      <c r="D218" s="18"/>
      <c r="E218" s="19"/>
      <c r="F218" s="20">
        <f t="shared" si="0"/>
        <v>105120</v>
      </c>
      <c r="G218" s="8"/>
    </row>
    <row r="219" spans="1:7">
      <c r="A219" s="15"/>
      <c r="B219" s="43"/>
      <c r="C219" s="23"/>
      <c r="D219" s="18"/>
      <c r="E219" s="19"/>
      <c r="F219" s="20"/>
      <c r="G219" s="8"/>
    </row>
    <row r="220" spans="1:7">
      <c r="A220" s="15"/>
      <c r="B220" s="43"/>
      <c r="C220" s="23"/>
      <c r="D220" s="18"/>
      <c r="E220" s="19"/>
      <c r="F220" s="20"/>
      <c r="G220" s="8"/>
    </row>
    <row r="221" spans="1:7">
      <c r="A221" s="15"/>
      <c r="B221" s="43"/>
      <c r="C221" s="23"/>
      <c r="D221" s="18"/>
      <c r="E221" s="19"/>
      <c r="F221" s="20"/>
      <c r="G221" s="8"/>
    </row>
    <row r="222" spans="1:7">
      <c r="A222" s="15"/>
      <c r="B222" s="43"/>
      <c r="C222" s="23"/>
      <c r="D222" s="18"/>
      <c r="E222" s="19"/>
      <c r="F222" s="20"/>
      <c r="G222" s="8"/>
    </row>
    <row r="223" spans="1:7">
      <c r="A223" s="15"/>
      <c r="B223" s="43"/>
      <c r="C223" s="23"/>
      <c r="D223" s="18"/>
      <c r="E223" s="19"/>
      <c r="F223" s="20"/>
      <c r="G223" s="8"/>
    </row>
    <row r="224" spans="1:7">
      <c r="A224" s="15"/>
      <c r="B224" s="43"/>
      <c r="C224" s="23"/>
      <c r="D224" s="18"/>
      <c r="E224" s="19"/>
      <c r="F224" s="20"/>
      <c r="G224" s="8"/>
    </row>
    <row r="225" spans="1:7">
      <c r="A225" s="15"/>
      <c r="B225" s="43"/>
      <c r="C225" s="23"/>
      <c r="D225" s="18"/>
      <c r="E225" s="19"/>
      <c r="F225" s="20"/>
      <c r="G225" s="8"/>
    </row>
    <row r="226" spans="1:7">
      <c r="A226" s="15"/>
      <c r="B226" s="43"/>
      <c r="C226" s="23"/>
      <c r="D226" s="18"/>
      <c r="E226" s="19"/>
      <c r="F226" s="20"/>
      <c r="G226" s="8"/>
    </row>
    <row r="227" spans="1:7">
      <c r="A227" s="15"/>
      <c r="B227" s="43"/>
      <c r="C227" s="23"/>
      <c r="D227" s="18"/>
      <c r="E227" s="19"/>
      <c r="F227" s="20"/>
      <c r="G227" s="8"/>
    </row>
    <row r="228" spans="1:7">
      <c r="A228" s="15"/>
      <c r="B228" s="43"/>
      <c r="C228" s="23"/>
      <c r="D228" s="18"/>
      <c r="E228" s="19"/>
      <c r="F228" s="20"/>
      <c r="G228" s="8"/>
    </row>
    <row r="229" spans="1:7">
      <c r="A229" s="15"/>
      <c r="B229" s="43"/>
      <c r="C229" s="23"/>
      <c r="D229" s="18"/>
      <c r="E229" s="19"/>
      <c r="F229" s="20"/>
      <c r="G229" s="8"/>
    </row>
    <row r="230" spans="1:7">
      <c r="A230" s="15"/>
      <c r="B230" s="43"/>
      <c r="C230" s="23"/>
      <c r="D230" s="18"/>
      <c r="E230" s="19"/>
      <c r="F230" s="20"/>
      <c r="G230" s="8"/>
    </row>
    <row r="231" spans="1:7">
      <c r="A231" s="15"/>
      <c r="B231" s="43"/>
      <c r="C231" s="23"/>
      <c r="D231" s="18"/>
      <c r="E231" s="19"/>
      <c r="F231" s="20"/>
      <c r="G231" s="8"/>
    </row>
    <row r="232" spans="1:7">
      <c r="A232" s="15"/>
      <c r="B232" s="43"/>
      <c r="C232" s="23"/>
      <c r="D232" s="18"/>
      <c r="E232" s="19"/>
      <c r="F232" s="20"/>
      <c r="G232" s="8"/>
    </row>
    <row r="233" spans="1:7">
      <c r="A233" s="15"/>
      <c r="B233" s="43"/>
      <c r="C233" s="23"/>
      <c r="D233" s="18"/>
      <c r="E233" s="19"/>
      <c r="F233" s="20">
        <f>+F198+C233-D233-E233</f>
        <v>98920</v>
      </c>
      <c r="G233" s="8"/>
    </row>
    <row r="234" spans="1:7">
      <c r="A234" s="15"/>
      <c r="B234" s="43"/>
      <c r="C234" s="23"/>
      <c r="D234" s="18"/>
      <c r="E234" s="19"/>
      <c r="F234" s="20">
        <f t="shared" si="0"/>
        <v>98920</v>
      </c>
      <c r="G234" s="8"/>
    </row>
    <row r="235" spans="1:7">
      <c r="A235" s="15"/>
      <c r="B235" s="23"/>
      <c r="C235" s="23"/>
      <c r="D235" s="18"/>
      <c r="E235" s="19"/>
      <c r="F235" s="20">
        <f t="shared" si="0"/>
        <v>98920</v>
      </c>
      <c r="G235" s="8"/>
    </row>
    <row r="236" spans="1:7" ht="20.25" thickBot="1">
      <c r="A236" s="34"/>
      <c r="B236" s="35"/>
      <c r="C236" s="35"/>
      <c r="D236" s="36"/>
      <c r="E236" s="37"/>
      <c r="F236" s="20">
        <f t="shared" si="0"/>
        <v>98920</v>
      </c>
      <c r="G236" s="8"/>
    </row>
    <row r="237" spans="1:7" ht="20.25" thickTop="1">
      <c r="A237" s="8"/>
      <c r="B237" s="8"/>
      <c r="C237" s="8"/>
      <c r="D237" s="8"/>
      <c r="E237" s="8" t="s">
        <v>15</v>
      </c>
      <c r="F237" s="20"/>
      <c r="G237" s="8"/>
    </row>
    <row r="238" spans="1:7">
      <c r="A238" s="8"/>
      <c r="B238" s="8"/>
      <c r="C238" s="8"/>
      <c r="D238" s="8"/>
      <c r="E238" s="8" t="s">
        <v>3</v>
      </c>
      <c r="F238" s="22">
        <f>+F236-F237</f>
        <v>98920</v>
      </c>
      <c r="G238" s="8"/>
    </row>
    <row r="239" spans="1:7">
      <c r="B239" s="8"/>
      <c r="D239" s="24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58"/>
  <sheetViews>
    <sheetView topLeftCell="A20" workbookViewId="0">
      <selection activeCell="J35" sqref="J35"/>
    </sheetView>
  </sheetViews>
  <sheetFormatPr defaultRowHeight="15"/>
  <cols>
    <col min="1" max="1" width="2.85546875" customWidth="1"/>
    <col min="2" max="2" width="10.5703125" style="39" bestFit="1" customWidth="1"/>
    <col min="3" max="3" width="9.28515625" style="39" bestFit="1" customWidth="1"/>
    <col min="4" max="4" width="10.28515625" style="39" customWidth="1"/>
    <col min="5" max="5" width="2.28515625" style="39" customWidth="1"/>
    <col min="6" max="7" width="9.28515625" style="39" bestFit="1" customWidth="1"/>
    <col min="8" max="8" width="13.28515625" style="39" customWidth="1"/>
    <col min="9" max="9" width="10.28515625" customWidth="1"/>
    <col min="10" max="10" width="12.42578125" customWidth="1"/>
    <col min="11" max="11" width="9" customWidth="1"/>
    <col min="12" max="12" width="11.5703125" style="39" bestFit="1" customWidth="1"/>
  </cols>
  <sheetData>
    <row r="1" spans="2:11">
      <c r="B1" s="38"/>
      <c r="C1" s="38">
        <v>4900</v>
      </c>
      <c r="D1" s="38"/>
      <c r="E1" s="32"/>
      <c r="F1" s="38">
        <v>1000</v>
      </c>
      <c r="G1" s="38"/>
      <c r="H1" s="38"/>
    </row>
    <row r="2" spans="2:11">
      <c r="B2" s="38">
        <v>3500</v>
      </c>
      <c r="C2" s="38">
        <v>6500</v>
      </c>
      <c r="D2" s="38"/>
      <c r="E2" s="32"/>
      <c r="F2" s="38">
        <v>3400</v>
      </c>
      <c r="G2" s="38"/>
      <c r="H2" s="38"/>
    </row>
    <row r="3" spans="2:11">
      <c r="B3" s="38">
        <v>10600</v>
      </c>
      <c r="C3" s="38">
        <v>4400</v>
      </c>
      <c r="D3" s="38"/>
      <c r="E3" s="32"/>
      <c r="F3" s="38">
        <v>2000</v>
      </c>
      <c r="G3" s="38"/>
      <c r="H3" s="38"/>
    </row>
    <row r="4" spans="2:11">
      <c r="B4" s="38">
        <v>3500</v>
      </c>
      <c r="C4" s="38">
        <v>9900</v>
      </c>
      <c r="D4" s="38"/>
      <c r="E4" s="32"/>
      <c r="F4" s="38">
        <v>3700</v>
      </c>
      <c r="G4" s="38"/>
      <c r="H4" s="38"/>
    </row>
    <row r="5" spans="2:11">
      <c r="B5" s="38">
        <v>2100</v>
      </c>
      <c r="C5" s="38">
        <v>2700</v>
      </c>
      <c r="D5" s="38"/>
      <c r="E5" s="32"/>
      <c r="F5" s="38">
        <v>3700</v>
      </c>
      <c r="G5" s="38"/>
      <c r="H5" s="38"/>
    </row>
    <row r="6" spans="2:11">
      <c r="B6" s="38">
        <v>1800</v>
      </c>
      <c r="C6" s="38">
        <v>4600</v>
      </c>
      <c r="D6" s="38"/>
      <c r="E6" s="32"/>
      <c r="F6" s="38">
        <v>9100</v>
      </c>
      <c r="G6" s="38"/>
      <c r="H6" s="38"/>
    </row>
    <row r="7" spans="2:11">
      <c r="B7" s="38">
        <v>10000</v>
      </c>
      <c r="C7" s="38">
        <v>10100</v>
      </c>
      <c r="D7" s="38"/>
      <c r="E7" s="32"/>
      <c r="F7" s="38">
        <v>6300</v>
      </c>
      <c r="G7" s="38"/>
      <c r="H7" s="38"/>
    </row>
    <row r="8" spans="2:11">
      <c r="B8" s="38">
        <v>2000</v>
      </c>
      <c r="C8" s="38">
        <v>1550</v>
      </c>
      <c r="D8" s="38"/>
      <c r="E8" s="32"/>
      <c r="F8" s="38">
        <v>7000</v>
      </c>
      <c r="G8" s="38"/>
      <c r="H8" s="38"/>
      <c r="J8" t="s">
        <v>2</v>
      </c>
    </row>
    <row r="9" spans="2:11">
      <c r="B9" s="38">
        <v>23400</v>
      </c>
      <c r="C9" s="38">
        <v>3000</v>
      </c>
      <c r="D9" s="38"/>
      <c r="E9" s="32"/>
      <c r="F9" s="38">
        <v>6800</v>
      </c>
      <c r="G9" s="38"/>
      <c r="H9" s="38"/>
      <c r="J9" s="38">
        <v>400</v>
      </c>
      <c r="K9" s="46" t="s">
        <v>20</v>
      </c>
    </row>
    <row r="10" spans="2:11">
      <c r="B10" s="38">
        <v>14000</v>
      </c>
      <c r="C10" s="38">
        <v>6000</v>
      </c>
      <c r="D10" s="38"/>
      <c r="E10" s="32"/>
      <c r="F10" s="38">
        <v>300</v>
      </c>
      <c r="G10" s="38"/>
      <c r="H10" s="38"/>
      <c r="J10" s="38">
        <v>1000</v>
      </c>
      <c r="K10" s="46" t="s">
        <v>27</v>
      </c>
    </row>
    <row r="11" spans="2:11">
      <c r="B11" s="38">
        <v>14000</v>
      </c>
      <c r="C11" s="38">
        <v>11800</v>
      </c>
      <c r="D11" s="38"/>
      <c r="E11" s="32"/>
      <c r="F11" s="38">
        <v>2900</v>
      </c>
      <c r="G11" s="38"/>
      <c r="H11" s="38"/>
      <c r="J11" s="38">
        <v>400</v>
      </c>
      <c r="K11" s="46" t="s">
        <v>20</v>
      </c>
    </row>
    <row r="12" spans="2:11">
      <c r="B12" s="38">
        <v>6200</v>
      </c>
      <c r="C12" s="38">
        <v>3000</v>
      </c>
      <c r="D12" s="38"/>
      <c r="E12" s="32"/>
      <c r="F12" s="38">
        <v>2900</v>
      </c>
      <c r="G12" s="38"/>
      <c r="H12" s="38"/>
      <c r="J12" s="38">
        <v>3000</v>
      </c>
      <c r="K12" s="46" t="s">
        <v>29</v>
      </c>
    </row>
    <row r="13" spans="2:11">
      <c r="B13" s="38">
        <v>6100</v>
      </c>
      <c r="C13" s="38">
        <v>1500</v>
      </c>
      <c r="D13" s="38"/>
      <c r="E13" s="32"/>
      <c r="F13" s="38">
        <v>1100</v>
      </c>
      <c r="G13" s="38"/>
      <c r="H13" s="38"/>
      <c r="J13" s="38">
        <v>3000</v>
      </c>
      <c r="K13" s="46" t="s">
        <v>30</v>
      </c>
    </row>
    <row r="14" spans="2:11">
      <c r="B14" s="38">
        <v>3200</v>
      </c>
      <c r="C14" s="38">
        <v>24200</v>
      </c>
      <c r="D14" s="38"/>
      <c r="E14" s="32"/>
      <c r="F14" s="38">
        <v>500</v>
      </c>
      <c r="G14" s="38"/>
      <c r="H14" s="38"/>
      <c r="J14" s="38">
        <v>1100</v>
      </c>
      <c r="K14" s="46" t="s">
        <v>25</v>
      </c>
    </row>
    <row r="15" spans="2:11">
      <c r="B15" s="38">
        <v>2400</v>
      </c>
      <c r="C15" s="38">
        <v>5900</v>
      </c>
      <c r="D15" s="38"/>
      <c r="E15" s="32"/>
      <c r="F15" s="38">
        <v>7100</v>
      </c>
      <c r="G15" s="30"/>
      <c r="H15" s="38"/>
      <c r="J15" s="38">
        <v>1000</v>
      </c>
      <c r="K15" s="46" t="s">
        <v>31</v>
      </c>
    </row>
    <row r="16" spans="2:11">
      <c r="B16" s="38">
        <v>2000</v>
      </c>
      <c r="C16" s="38">
        <v>3300</v>
      </c>
      <c r="D16" s="38"/>
      <c r="E16" s="32"/>
      <c r="F16" s="38">
        <v>12700</v>
      </c>
      <c r="G16" s="38"/>
      <c r="H16" s="38"/>
      <c r="J16" s="38">
        <v>700</v>
      </c>
      <c r="K16" s="46" t="s">
        <v>32</v>
      </c>
    </row>
    <row r="17" spans="2:12">
      <c r="B17" s="38">
        <v>3300</v>
      </c>
      <c r="C17" s="38">
        <v>6800</v>
      </c>
      <c r="D17" s="38"/>
      <c r="E17" s="32"/>
      <c r="F17" s="38">
        <v>3600</v>
      </c>
      <c r="G17" s="38"/>
      <c r="H17" s="38"/>
      <c r="J17" s="38">
        <v>300</v>
      </c>
      <c r="K17" s="46" t="s">
        <v>33</v>
      </c>
    </row>
    <row r="18" spans="2:12">
      <c r="B18" s="38">
        <v>3600</v>
      </c>
      <c r="C18" s="38">
        <v>1150</v>
      </c>
      <c r="D18" s="38"/>
      <c r="E18" s="32"/>
      <c r="F18" s="38">
        <v>2200</v>
      </c>
      <c r="G18" s="38"/>
      <c r="H18" s="38"/>
      <c r="J18" s="38">
        <v>800</v>
      </c>
      <c r="K18" s="46" t="s">
        <v>34</v>
      </c>
    </row>
    <row r="19" spans="2:12">
      <c r="B19" s="38">
        <v>2400</v>
      </c>
      <c r="C19" s="38">
        <v>7800</v>
      </c>
      <c r="D19" s="38"/>
      <c r="E19" s="32"/>
      <c r="F19" s="38">
        <v>2500</v>
      </c>
      <c r="G19" s="38"/>
      <c r="H19" s="38"/>
      <c r="J19" s="38"/>
      <c r="K19" s="45"/>
    </row>
    <row r="20" spans="2:12">
      <c r="B20" s="38">
        <v>2000</v>
      </c>
      <c r="C20" s="38">
        <v>3000</v>
      </c>
      <c r="D20" s="38"/>
      <c r="E20" s="32"/>
      <c r="F20" s="38">
        <v>1600</v>
      </c>
      <c r="G20" s="38"/>
      <c r="H20" s="38"/>
      <c r="J20" s="38"/>
      <c r="K20" s="45"/>
    </row>
    <row r="21" spans="2:12">
      <c r="B21" s="38">
        <v>9600</v>
      </c>
      <c r="C21" s="38">
        <v>3400</v>
      </c>
      <c r="D21" s="38"/>
      <c r="E21" s="32"/>
      <c r="F21" s="38">
        <v>2200</v>
      </c>
      <c r="G21" s="38"/>
      <c r="H21" s="38"/>
      <c r="J21" s="38"/>
      <c r="K21" s="45"/>
    </row>
    <row r="22" spans="2:12">
      <c r="B22" s="38">
        <v>3700</v>
      </c>
      <c r="C22" s="38">
        <v>5900</v>
      </c>
      <c r="D22" s="38"/>
      <c r="E22" s="32"/>
      <c r="F22" s="38">
        <v>3700</v>
      </c>
      <c r="G22" s="38"/>
      <c r="H22" s="38"/>
      <c r="J22" s="38"/>
      <c r="K22" s="45"/>
    </row>
    <row r="23" spans="2:12">
      <c r="B23" s="38">
        <v>2000</v>
      </c>
      <c r="C23" s="38">
        <v>500</v>
      </c>
      <c r="D23" s="38"/>
      <c r="E23" s="32"/>
      <c r="F23" s="38">
        <v>3000</v>
      </c>
      <c r="G23" s="38"/>
      <c r="H23" s="38"/>
      <c r="J23" s="38"/>
      <c r="K23" s="45"/>
    </row>
    <row r="24" spans="2:12">
      <c r="B24" s="38">
        <v>3000</v>
      </c>
      <c r="C24" s="38">
        <v>6200</v>
      </c>
      <c r="D24" s="38"/>
      <c r="E24" s="32"/>
      <c r="F24" s="38">
        <v>5900</v>
      </c>
      <c r="G24" s="38"/>
      <c r="H24" s="38"/>
      <c r="J24" s="38"/>
      <c r="K24" s="45"/>
      <c r="L24" s="47">
        <f>557750+116100+700</f>
        <v>674550</v>
      </c>
    </row>
    <row r="25" spans="2:12">
      <c r="B25" s="38">
        <v>2100</v>
      </c>
      <c r="C25" s="38">
        <v>5800</v>
      </c>
      <c r="D25" s="38"/>
      <c r="E25" s="32"/>
      <c r="F25" s="38">
        <v>11550</v>
      </c>
      <c r="G25" s="38"/>
      <c r="H25" s="38"/>
      <c r="J25" s="38"/>
      <c r="K25" s="45"/>
    </row>
    <row r="26" spans="2:12">
      <c r="B26" s="38">
        <v>4700</v>
      </c>
      <c r="C26" s="38">
        <v>5000</v>
      </c>
      <c r="D26" s="38"/>
      <c r="E26" s="32"/>
      <c r="F26" s="38">
        <v>10300</v>
      </c>
      <c r="G26" s="38"/>
      <c r="H26" s="38"/>
      <c r="J26" s="38"/>
      <c r="K26" s="45"/>
    </row>
    <row r="27" spans="2:12">
      <c r="B27" s="38">
        <v>17500</v>
      </c>
      <c r="C27" s="38">
        <v>5000</v>
      </c>
      <c r="D27" s="38"/>
      <c r="E27" s="32"/>
      <c r="F27" s="38">
        <v>17300</v>
      </c>
      <c r="G27" s="38"/>
      <c r="H27" s="38"/>
      <c r="J27" s="38"/>
      <c r="K27" s="45"/>
    </row>
    <row r="28" spans="2:12">
      <c r="B28" s="38">
        <v>1800</v>
      </c>
      <c r="C28" s="38">
        <v>12800</v>
      </c>
      <c r="D28" s="38"/>
      <c r="E28" s="32"/>
      <c r="F28" s="38">
        <v>26200</v>
      </c>
      <c r="G28" s="38"/>
      <c r="H28" s="38"/>
      <c r="J28" s="38"/>
      <c r="K28" s="45"/>
    </row>
    <row r="29" spans="2:12" ht="15.75" thickBot="1">
      <c r="B29" s="38">
        <v>4500</v>
      </c>
      <c r="C29" s="38">
        <v>8400</v>
      </c>
      <c r="D29" s="38"/>
      <c r="E29" s="32"/>
      <c r="F29" s="38">
        <v>18400</v>
      </c>
      <c r="G29" s="38"/>
      <c r="H29" s="38"/>
      <c r="J29" s="31">
        <f>SUM(J9:J28)</f>
        <v>11700</v>
      </c>
      <c r="K29" s="45"/>
    </row>
    <row r="30" spans="2:12" ht="15.75" thickTop="1">
      <c r="B30" s="38">
        <v>3700</v>
      </c>
      <c r="C30" s="38">
        <v>8100</v>
      </c>
      <c r="D30" s="38"/>
      <c r="E30" s="32"/>
      <c r="F30" s="38">
        <v>3900</v>
      </c>
      <c r="G30" s="38"/>
      <c r="H30" s="38"/>
    </row>
    <row r="31" spans="2:12">
      <c r="B31" s="38">
        <v>2300</v>
      </c>
      <c r="C31" s="38">
        <v>500</v>
      </c>
      <c r="D31" s="38"/>
      <c r="E31" s="32"/>
      <c r="F31" s="38">
        <v>1900</v>
      </c>
      <c r="G31" s="38"/>
      <c r="H31" s="38"/>
    </row>
    <row r="32" spans="2:12">
      <c r="B32" s="38">
        <v>900</v>
      </c>
      <c r="C32" s="38">
        <v>5400</v>
      </c>
      <c r="D32" s="38"/>
      <c r="E32" s="32"/>
      <c r="F32" s="38"/>
      <c r="G32" s="38"/>
      <c r="H32" s="38"/>
    </row>
    <row r="33" spans="2:13">
      <c r="B33" s="38">
        <v>2600</v>
      </c>
      <c r="C33" s="38"/>
      <c r="D33" s="38"/>
      <c r="E33" s="32"/>
      <c r="F33" s="38">
        <v>6400</v>
      </c>
      <c r="G33" s="38"/>
      <c r="H33" s="38"/>
    </row>
    <row r="34" spans="2:13">
      <c r="B34" s="38">
        <v>2400</v>
      </c>
      <c r="C34" s="38"/>
      <c r="D34" s="38"/>
      <c r="E34" s="32"/>
      <c r="F34" s="38"/>
      <c r="G34" s="38"/>
      <c r="H34" s="38"/>
      <c r="J34" s="25" t="s">
        <v>0</v>
      </c>
      <c r="K34" s="33" t="s">
        <v>21</v>
      </c>
    </row>
    <row r="35" spans="2:13" s="39" customFormat="1" ht="15.75" thickBot="1">
      <c r="B35" s="26">
        <f>SUM(B1:B34)</f>
        <v>176900</v>
      </c>
      <c r="C35" s="26">
        <f>SUM(C1:C34)</f>
        <v>189100</v>
      </c>
      <c r="D35" s="26">
        <f>SUM(D1:D34)</f>
        <v>0</v>
      </c>
      <c r="E35" s="27"/>
      <c r="F35" s="26">
        <f>SUM(F1:F34)</f>
        <v>191150</v>
      </c>
      <c r="G35" s="26">
        <f>SUM(G1:G34)</f>
        <v>0</v>
      </c>
      <c r="H35" s="26">
        <f>SUM(H1:H34)</f>
        <v>0</v>
      </c>
      <c r="I35" s="1">
        <f>+D36+H36</f>
        <v>557150</v>
      </c>
      <c r="J35" s="39">
        <f>104400+11700</f>
        <v>116100</v>
      </c>
      <c r="K35" s="4">
        <v>700</v>
      </c>
      <c r="L35" s="39">
        <f>SUM(I35:K35)</f>
        <v>673950</v>
      </c>
    </row>
    <row r="36" spans="2:13" ht="16.5" thickTop="1" thickBot="1">
      <c r="C36" s="28" t="s">
        <v>1</v>
      </c>
      <c r="D36" s="29">
        <f>SUM(B35:D35)</f>
        <v>366000</v>
      </c>
      <c r="E36" s="28"/>
      <c r="F36" s="28"/>
      <c r="G36" s="28" t="s">
        <v>17</v>
      </c>
      <c r="H36" s="29">
        <f>SUM(F35:H35)</f>
        <v>191150</v>
      </c>
      <c r="J36" s="3" t="s">
        <v>19</v>
      </c>
      <c r="K36" s="3"/>
      <c r="L36" s="2">
        <v>600</v>
      </c>
    </row>
    <row r="37" spans="2:13">
      <c r="C37" s="39" t="s">
        <v>18</v>
      </c>
      <c r="D37" s="28">
        <f>523900-190000</f>
        <v>333900</v>
      </c>
      <c r="G37" s="39" t="s">
        <v>18</v>
      </c>
      <c r="H37" s="39">
        <f>345650-123000</f>
        <v>222650</v>
      </c>
      <c r="L37" s="39">
        <f>SUM(L35:L36)</f>
        <v>674550</v>
      </c>
    </row>
    <row r="38" spans="2:13" ht="15.75" thickBot="1">
      <c r="C38" s="39" t="s">
        <v>5</v>
      </c>
      <c r="D38" s="39">
        <f>+D36-D37</f>
        <v>32100</v>
      </c>
      <c r="G38" s="39" t="s">
        <v>5</v>
      </c>
      <c r="H38" s="39">
        <f>+H36-H37</f>
        <v>-31500</v>
      </c>
      <c r="J38" t="s">
        <v>4</v>
      </c>
      <c r="L38" s="2">
        <v>674300</v>
      </c>
    </row>
    <row r="39" spans="2:13">
      <c r="D39" s="39">
        <v>190000</v>
      </c>
      <c r="H39" s="39">
        <v>123000</v>
      </c>
      <c r="J39" s="3" t="s">
        <v>6</v>
      </c>
      <c r="L39" s="39">
        <f>+L37-L38</f>
        <v>250</v>
      </c>
      <c r="M39" t="s">
        <v>28</v>
      </c>
    </row>
    <row r="40" spans="2:13">
      <c r="K40" s="3"/>
      <c r="L40" s="4"/>
    </row>
    <row r="43" spans="2:13">
      <c r="G43" s="38">
        <v>1000</v>
      </c>
      <c r="H43" s="38">
        <v>19</v>
      </c>
      <c r="I43" s="38">
        <f>+G43*H43</f>
        <v>19000</v>
      </c>
    </row>
    <row r="44" spans="2:13">
      <c r="G44" s="38">
        <v>500</v>
      </c>
      <c r="H44" s="38">
        <v>74</v>
      </c>
      <c r="I44" s="38">
        <f t="shared" ref="I44:I56" si="0">+G44*H44</f>
        <v>37000</v>
      </c>
    </row>
    <row r="45" spans="2:13">
      <c r="G45" s="38">
        <v>200</v>
      </c>
      <c r="H45" s="38">
        <v>25</v>
      </c>
      <c r="I45" s="38">
        <f t="shared" si="0"/>
        <v>5000</v>
      </c>
    </row>
    <row r="46" spans="2:13">
      <c r="G46" s="38">
        <v>100</v>
      </c>
      <c r="H46" s="38"/>
      <c r="I46" s="38">
        <f t="shared" si="0"/>
        <v>0</v>
      </c>
    </row>
    <row r="47" spans="2:13">
      <c r="G47" s="38">
        <v>50</v>
      </c>
      <c r="H47" s="38"/>
      <c r="I47" s="38">
        <f t="shared" si="0"/>
        <v>0</v>
      </c>
    </row>
    <row r="48" spans="2:13">
      <c r="G48" s="38"/>
      <c r="H48" s="38"/>
      <c r="I48" s="38">
        <f t="shared" si="0"/>
        <v>0</v>
      </c>
    </row>
    <row r="49" spans="7:11">
      <c r="G49" s="38">
        <v>1000</v>
      </c>
      <c r="H49" s="38"/>
      <c r="I49" s="38">
        <f t="shared" si="0"/>
        <v>0</v>
      </c>
    </row>
    <row r="50" spans="7:11">
      <c r="G50" s="38">
        <v>500</v>
      </c>
      <c r="H50" s="38"/>
      <c r="I50" s="38">
        <f t="shared" si="0"/>
        <v>0</v>
      </c>
    </row>
    <row r="51" spans="7:11">
      <c r="G51" s="38">
        <v>200</v>
      </c>
      <c r="H51" s="38"/>
      <c r="I51" s="38">
        <f t="shared" si="0"/>
        <v>0</v>
      </c>
    </row>
    <row r="52" spans="7:11">
      <c r="G52" s="38">
        <v>100</v>
      </c>
      <c r="H52" s="38"/>
      <c r="I52" s="38">
        <f t="shared" si="0"/>
        <v>0</v>
      </c>
    </row>
    <row r="53" spans="7:11">
      <c r="G53" s="38">
        <v>50</v>
      </c>
      <c r="H53" s="38"/>
      <c r="I53" s="38">
        <f t="shared" si="0"/>
        <v>0</v>
      </c>
    </row>
    <row r="54" spans="7:11">
      <c r="G54" s="38"/>
      <c r="H54" s="38"/>
      <c r="I54" s="38">
        <f t="shared" si="0"/>
        <v>0</v>
      </c>
    </row>
    <row r="55" spans="7:11">
      <c r="G55" s="38"/>
      <c r="H55" s="38"/>
      <c r="I55" s="38">
        <f t="shared" si="0"/>
        <v>0</v>
      </c>
    </row>
    <row r="56" spans="7:11">
      <c r="G56" s="38"/>
      <c r="H56" s="38"/>
      <c r="I56" s="38">
        <f t="shared" si="0"/>
        <v>0</v>
      </c>
      <c r="K56">
        <f>95200+8000+1200</f>
        <v>104400</v>
      </c>
    </row>
    <row r="57" spans="7:11" ht="15.75" thickBot="1">
      <c r="G57" s="40"/>
      <c r="H57" s="40"/>
      <c r="I57" s="40">
        <f>SUM(I43:I56)</f>
        <v>61000</v>
      </c>
    </row>
    <row r="58" spans="7:11" ht="15.75" thickTop="1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47"/>
  <sheetViews>
    <sheetView topLeftCell="A17" workbookViewId="0">
      <selection activeCell="J26" sqref="J26:L26"/>
    </sheetView>
  </sheetViews>
  <sheetFormatPr defaultRowHeight="15"/>
  <cols>
    <col min="1" max="1" width="2.85546875" customWidth="1"/>
    <col min="2" max="2" width="10.5703125" style="47" bestFit="1" customWidth="1"/>
    <col min="3" max="3" width="9.28515625" style="47" bestFit="1" customWidth="1"/>
    <col min="4" max="4" width="10.28515625" style="47" customWidth="1"/>
    <col min="5" max="5" width="2.28515625" style="47" customWidth="1"/>
    <col min="6" max="7" width="9.28515625" style="47" bestFit="1" customWidth="1"/>
    <col min="8" max="8" width="13.28515625" style="47" customWidth="1"/>
    <col min="9" max="9" width="10.28515625" customWidth="1"/>
    <col min="10" max="10" width="12.42578125" customWidth="1"/>
    <col min="11" max="11" width="9" customWidth="1"/>
    <col min="12" max="12" width="11.5703125" style="47" bestFit="1" customWidth="1"/>
  </cols>
  <sheetData>
    <row r="1" spans="2:11">
      <c r="B1" s="38">
        <v>1900</v>
      </c>
      <c r="C1" s="38">
        <v>3600</v>
      </c>
      <c r="D1" s="38">
        <v>3200</v>
      </c>
      <c r="E1" s="32"/>
      <c r="F1" s="38">
        <v>6500</v>
      </c>
      <c r="G1" s="38">
        <v>2000</v>
      </c>
      <c r="H1" s="38">
        <v>3600</v>
      </c>
    </row>
    <row r="2" spans="2:11">
      <c r="B2" s="38">
        <v>4500</v>
      </c>
      <c r="C2" s="38">
        <v>3700</v>
      </c>
      <c r="D2" s="38">
        <v>1950</v>
      </c>
      <c r="E2" s="32"/>
      <c r="F2" s="38">
        <v>2200</v>
      </c>
      <c r="G2" s="38">
        <v>4000</v>
      </c>
      <c r="H2" s="38">
        <v>2600</v>
      </c>
    </row>
    <row r="3" spans="2:11">
      <c r="B3" s="38">
        <v>6500</v>
      </c>
      <c r="C3" s="38">
        <v>5700</v>
      </c>
      <c r="D3" s="38">
        <v>3000</v>
      </c>
      <c r="E3" s="32"/>
      <c r="F3" s="38">
        <v>11200</v>
      </c>
      <c r="G3" s="38">
        <v>6800</v>
      </c>
      <c r="H3" s="38">
        <v>900</v>
      </c>
    </row>
    <row r="4" spans="2:11">
      <c r="B4" s="38">
        <v>8800</v>
      </c>
      <c r="C4" s="38">
        <v>2000</v>
      </c>
      <c r="D4" s="38">
        <v>7650</v>
      </c>
      <c r="E4" s="32"/>
      <c r="F4" s="38">
        <v>4700</v>
      </c>
      <c r="G4" s="38">
        <v>2800</v>
      </c>
      <c r="H4" s="38">
        <v>9400</v>
      </c>
    </row>
    <row r="5" spans="2:11">
      <c r="B5" s="38">
        <v>2000</v>
      </c>
      <c r="C5" s="38">
        <v>300</v>
      </c>
      <c r="D5" s="38">
        <v>3500</v>
      </c>
      <c r="E5" s="32"/>
      <c r="F5" s="38">
        <v>2000</v>
      </c>
      <c r="G5" s="38">
        <v>4700</v>
      </c>
      <c r="H5" s="38">
        <v>18000</v>
      </c>
    </row>
    <row r="6" spans="2:11">
      <c r="B6" s="38">
        <v>1500</v>
      </c>
      <c r="C6" s="38">
        <v>8500</v>
      </c>
      <c r="D6" s="38">
        <v>4300</v>
      </c>
      <c r="E6" s="32"/>
      <c r="F6" s="38">
        <v>2000</v>
      </c>
      <c r="G6" s="38">
        <v>4000</v>
      </c>
      <c r="H6" s="38">
        <v>1700</v>
      </c>
    </row>
    <row r="7" spans="2:11">
      <c r="B7" s="38">
        <v>6800</v>
      </c>
      <c r="C7" s="38">
        <v>5100</v>
      </c>
      <c r="D7" s="38">
        <v>6000</v>
      </c>
      <c r="E7" s="32"/>
      <c r="F7" s="38">
        <v>3200</v>
      </c>
      <c r="G7" s="38">
        <v>1500</v>
      </c>
      <c r="H7" s="38">
        <v>21500</v>
      </c>
    </row>
    <row r="8" spans="2:11">
      <c r="B8" s="38">
        <v>5800</v>
      </c>
      <c r="C8" s="38">
        <v>2400</v>
      </c>
      <c r="D8" s="38">
        <v>2500</v>
      </c>
      <c r="E8" s="32"/>
      <c r="F8" s="38">
        <v>5000</v>
      </c>
      <c r="G8" s="38">
        <v>900</v>
      </c>
      <c r="H8" s="38">
        <v>7400</v>
      </c>
      <c r="J8" t="s">
        <v>2</v>
      </c>
    </row>
    <row r="9" spans="2:11">
      <c r="B9" s="38">
        <v>800</v>
      </c>
      <c r="C9" s="38">
        <v>3600</v>
      </c>
      <c r="D9" s="38">
        <v>3600</v>
      </c>
      <c r="E9" s="32"/>
      <c r="F9" s="38">
        <v>13800</v>
      </c>
      <c r="G9" s="38">
        <v>2900</v>
      </c>
      <c r="H9" s="38">
        <v>6100</v>
      </c>
      <c r="J9" s="38">
        <v>1600</v>
      </c>
      <c r="K9" s="48" t="s">
        <v>40</v>
      </c>
    </row>
    <row r="10" spans="2:11">
      <c r="B10" s="38">
        <v>2000</v>
      </c>
      <c r="C10" s="38">
        <v>4900</v>
      </c>
      <c r="D10" s="38">
        <v>4000</v>
      </c>
      <c r="E10" s="32"/>
      <c r="F10" s="38">
        <v>1000</v>
      </c>
      <c r="G10" s="38">
        <v>9600</v>
      </c>
      <c r="H10" s="38">
        <v>6500</v>
      </c>
      <c r="J10" s="38">
        <v>1000</v>
      </c>
      <c r="K10" s="48" t="s">
        <v>41</v>
      </c>
    </row>
    <row r="11" spans="2:11">
      <c r="B11" s="38">
        <v>3400</v>
      </c>
      <c r="C11" s="38">
        <v>6300</v>
      </c>
      <c r="D11" s="38"/>
      <c r="E11" s="32"/>
      <c r="F11" s="38">
        <v>900</v>
      </c>
      <c r="G11" s="38">
        <v>10200</v>
      </c>
      <c r="H11" s="38">
        <v>9200</v>
      </c>
      <c r="J11" s="38"/>
      <c r="K11" s="46"/>
    </row>
    <row r="12" spans="2:11">
      <c r="B12" s="38">
        <v>700</v>
      </c>
      <c r="C12" s="38">
        <v>9500</v>
      </c>
      <c r="D12" s="38"/>
      <c r="E12" s="32"/>
      <c r="F12" s="38">
        <v>9800</v>
      </c>
      <c r="G12" s="38">
        <v>1100</v>
      </c>
      <c r="H12" s="38">
        <v>7700</v>
      </c>
      <c r="J12" s="38"/>
      <c r="K12" s="46"/>
    </row>
    <row r="13" spans="2:11">
      <c r="B13" s="38">
        <v>2000</v>
      </c>
      <c r="C13" s="38">
        <v>900</v>
      </c>
      <c r="D13" s="38"/>
      <c r="E13" s="32"/>
      <c r="F13" s="38">
        <v>5900</v>
      </c>
      <c r="G13" s="38">
        <v>900</v>
      </c>
      <c r="H13" s="38"/>
      <c r="J13" s="38"/>
      <c r="K13" s="46"/>
    </row>
    <row r="14" spans="2:11">
      <c r="B14" s="38">
        <v>2000</v>
      </c>
      <c r="C14" s="38">
        <v>9500</v>
      </c>
      <c r="D14" s="38"/>
      <c r="E14" s="32"/>
      <c r="F14" s="38">
        <v>3400</v>
      </c>
      <c r="G14" s="38">
        <v>2300</v>
      </c>
      <c r="H14" s="38"/>
      <c r="J14" s="38"/>
      <c r="K14" s="46"/>
    </row>
    <row r="15" spans="2:11">
      <c r="B15" s="38">
        <v>2750</v>
      </c>
      <c r="C15" s="38">
        <v>11900</v>
      </c>
      <c r="D15" s="38"/>
      <c r="E15" s="32"/>
      <c r="F15" s="38">
        <v>1500</v>
      </c>
      <c r="G15" s="38">
        <v>8100</v>
      </c>
      <c r="H15" s="38"/>
      <c r="J15" s="38"/>
      <c r="K15" s="46"/>
    </row>
    <row r="16" spans="2:11">
      <c r="B16" s="38">
        <v>1800</v>
      </c>
      <c r="C16" s="38">
        <v>5000</v>
      </c>
      <c r="D16" s="38"/>
      <c r="E16" s="32"/>
      <c r="F16" s="38">
        <v>1800</v>
      </c>
      <c r="G16" s="38">
        <v>9000</v>
      </c>
      <c r="H16" s="38"/>
      <c r="J16" s="38"/>
      <c r="K16" s="46"/>
    </row>
    <row r="17" spans="2:13">
      <c r="B17" s="38">
        <v>6300</v>
      </c>
      <c r="C17" s="38">
        <v>8500</v>
      </c>
      <c r="D17" s="38"/>
      <c r="E17" s="32"/>
      <c r="F17" s="38">
        <v>3300</v>
      </c>
      <c r="G17" s="38">
        <v>15000</v>
      </c>
      <c r="H17" s="38"/>
      <c r="J17" s="38"/>
      <c r="K17" s="46"/>
    </row>
    <row r="18" spans="2:13" ht="15.75" thickBot="1">
      <c r="B18" s="38">
        <v>13000</v>
      </c>
      <c r="C18" s="38">
        <v>3600</v>
      </c>
      <c r="D18" s="38"/>
      <c r="E18" s="32"/>
      <c r="F18" s="38">
        <v>24400</v>
      </c>
      <c r="G18" s="38">
        <v>2400</v>
      </c>
      <c r="H18" s="38"/>
      <c r="J18" s="31">
        <f>SUM(J9:J17)</f>
        <v>2600</v>
      </c>
      <c r="K18" s="46"/>
    </row>
    <row r="19" spans="2:13" ht="15.75" thickTop="1">
      <c r="B19" s="38">
        <v>5700</v>
      </c>
      <c r="C19" s="38">
        <v>5700</v>
      </c>
      <c r="D19" s="38"/>
      <c r="E19" s="32"/>
      <c r="F19" s="38">
        <v>14400</v>
      </c>
      <c r="G19" s="38">
        <v>2000</v>
      </c>
      <c r="H19" s="38"/>
    </row>
    <row r="20" spans="2:13">
      <c r="B20" s="38">
        <v>18100</v>
      </c>
      <c r="C20" s="38">
        <v>2600</v>
      </c>
      <c r="D20" s="38"/>
      <c r="E20" s="32"/>
      <c r="F20" s="38">
        <v>2200</v>
      </c>
      <c r="G20" s="38">
        <v>8700</v>
      </c>
      <c r="H20" s="38"/>
    </row>
    <row r="21" spans="2:13">
      <c r="B21" s="38">
        <v>6000</v>
      </c>
      <c r="C21" s="38">
        <v>3800</v>
      </c>
      <c r="D21" s="38"/>
      <c r="E21" s="32"/>
      <c r="F21" s="38">
        <v>7600</v>
      </c>
      <c r="G21" s="38">
        <v>1600</v>
      </c>
      <c r="H21" s="38"/>
    </row>
    <row r="22" spans="2:13">
      <c r="B22" s="38">
        <v>12000</v>
      </c>
      <c r="C22" s="38">
        <v>4000</v>
      </c>
      <c r="D22" s="38"/>
      <c r="E22" s="32"/>
      <c r="F22" s="38">
        <v>1000</v>
      </c>
      <c r="G22" s="38">
        <v>7800</v>
      </c>
      <c r="H22" s="38"/>
    </row>
    <row r="23" spans="2:13">
      <c r="B23" s="38">
        <v>4000</v>
      </c>
      <c r="C23" s="38">
        <v>11100</v>
      </c>
      <c r="D23" s="38"/>
      <c r="E23" s="32"/>
      <c r="F23" s="38">
        <v>1800</v>
      </c>
      <c r="G23" s="38">
        <v>4000</v>
      </c>
      <c r="H23" s="38"/>
      <c r="J23" s="25" t="s">
        <v>0</v>
      </c>
      <c r="K23" s="33" t="s">
        <v>21</v>
      </c>
    </row>
    <row r="24" spans="2:13" s="47" customFormat="1" ht="15.75" thickBot="1">
      <c r="B24" s="26">
        <f>SUM(B1:B23)</f>
        <v>118350</v>
      </c>
      <c r="C24" s="26">
        <f>SUM(C1:C23)</f>
        <v>122200</v>
      </c>
      <c r="D24" s="26">
        <f>SUM(D1:D23)</f>
        <v>39700</v>
      </c>
      <c r="E24" s="27"/>
      <c r="F24" s="26">
        <f>SUM(F1:F23)</f>
        <v>129600</v>
      </c>
      <c r="G24" s="26">
        <f>SUM(G1:G23)</f>
        <v>112300</v>
      </c>
      <c r="H24" s="26">
        <f>SUM(H1:H23)</f>
        <v>94600</v>
      </c>
      <c r="I24" s="1">
        <f>+D25+H25</f>
        <v>616750</v>
      </c>
      <c r="J24" s="47">
        <f>61000+2600</f>
        <v>63600</v>
      </c>
      <c r="K24" s="4"/>
      <c r="L24" s="47">
        <f>SUM(I24:K24)</f>
        <v>680350</v>
      </c>
    </row>
    <row r="25" spans="2:13" ht="16.5" thickTop="1" thickBot="1">
      <c r="C25" s="28" t="s">
        <v>1</v>
      </c>
      <c r="D25" s="29">
        <f>SUM(B24:D24)</f>
        <v>280250</v>
      </c>
      <c r="E25" s="28"/>
      <c r="F25" s="28"/>
      <c r="G25" s="28" t="s">
        <v>17</v>
      </c>
      <c r="H25" s="29">
        <f>SUM(F24:H24)</f>
        <v>336500</v>
      </c>
      <c r="J25" s="3" t="s">
        <v>19</v>
      </c>
      <c r="K25" s="3"/>
      <c r="L25" s="2">
        <v>4900</v>
      </c>
    </row>
    <row r="26" spans="2:13">
      <c r="C26" s="47" t="s">
        <v>18</v>
      </c>
      <c r="D26" s="28">
        <v>281150</v>
      </c>
      <c r="G26" s="47" t="s">
        <v>18</v>
      </c>
      <c r="H26" s="47">
        <v>340500</v>
      </c>
      <c r="L26" s="47">
        <f>SUM(L24:L25)</f>
        <v>685250</v>
      </c>
    </row>
    <row r="27" spans="2:13" ht="15.75" thickBot="1">
      <c r="C27" s="47" t="s">
        <v>5</v>
      </c>
      <c r="D27" s="47">
        <f>+D25-D26</f>
        <v>-900</v>
      </c>
      <c r="G27" s="47" t="s">
        <v>5</v>
      </c>
      <c r="H27" s="47">
        <f>+H25-H26</f>
        <v>-4000</v>
      </c>
      <c r="J27" t="s">
        <v>4</v>
      </c>
      <c r="L27" s="2">
        <v>673300</v>
      </c>
    </row>
    <row r="28" spans="2:13">
      <c r="J28" s="3" t="s">
        <v>6</v>
      </c>
      <c r="L28" s="47">
        <f>+L26-L27</f>
        <v>11950</v>
      </c>
      <c r="M28" t="s">
        <v>39</v>
      </c>
    </row>
    <row r="29" spans="2:13">
      <c r="K29" s="3"/>
      <c r="L29" s="4"/>
    </row>
    <row r="30" spans="2:13">
      <c r="K30" s="49">
        <f>621000+J24</f>
        <v>684600</v>
      </c>
    </row>
    <row r="32" spans="2:13">
      <c r="G32" s="38">
        <v>1000</v>
      </c>
      <c r="H32" s="38">
        <v>19</v>
      </c>
      <c r="I32" s="38">
        <f>+G32*H32</f>
        <v>19000</v>
      </c>
    </row>
    <row r="33" spans="7:11">
      <c r="G33" s="38">
        <v>500</v>
      </c>
      <c r="H33" s="38">
        <v>74</v>
      </c>
      <c r="I33" s="38">
        <f t="shared" ref="I33:I45" si="0">+G33*H33</f>
        <v>37000</v>
      </c>
    </row>
    <row r="34" spans="7:11">
      <c r="G34" s="38">
        <v>200</v>
      </c>
      <c r="H34" s="38">
        <v>25</v>
      </c>
      <c r="I34" s="38">
        <f t="shared" si="0"/>
        <v>5000</v>
      </c>
    </row>
    <row r="35" spans="7:11">
      <c r="G35" s="38">
        <v>100</v>
      </c>
      <c r="H35" s="38"/>
      <c r="I35" s="38">
        <f t="shared" si="0"/>
        <v>0</v>
      </c>
    </row>
    <row r="36" spans="7:11">
      <c r="G36" s="38">
        <v>50</v>
      </c>
      <c r="H36" s="38"/>
      <c r="I36" s="38">
        <f t="shared" si="0"/>
        <v>0</v>
      </c>
    </row>
    <row r="37" spans="7:11">
      <c r="G37" s="38"/>
      <c r="H37" s="38"/>
      <c r="I37" s="38">
        <f t="shared" si="0"/>
        <v>0</v>
      </c>
    </row>
    <row r="38" spans="7:11">
      <c r="G38" s="38">
        <v>1000</v>
      </c>
      <c r="H38" s="38"/>
      <c r="I38" s="38">
        <f t="shared" si="0"/>
        <v>0</v>
      </c>
    </row>
    <row r="39" spans="7:11">
      <c r="G39" s="38">
        <v>500</v>
      </c>
      <c r="H39" s="38"/>
      <c r="I39" s="38">
        <f t="shared" si="0"/>
        <v>0</v>
      </c>
    </row>
    <row r="40" spans="7:11">
      <c r="G40" s="38">
        <v>200</v>
      </c>
      <c r="H40" s="38"/>
      <c r="I40" s="38">
        <f t="shared" si="0"/>
        <v>0</v>
      </c>
    </row>
    <row r="41" spans="7:11">
      <c r="G41" s="38">
        <v>100</v>
      </c>
      <c r="H41" s="38"/>
      <c r="I41" s="38">
        <f t="shared" si="0"/>
        <v>0</v>
      </c>
    </row>
    <row r="42" spans="7:11">
      <c r="G42" s="38">
        <v>50</v>
      </c>
      <c r="H42" s="38"/>
      <c r="I42" s="38">
        <f t="shared" si="0"/>
        <v>0</v>
      </c>
    </row>
    <row r="43" spans="7:11">
      <c r="G43" s="38"/>
      <c r="H43" s="38"/>
      <c r="I43" s="38">
        <f t="shared" si="0"/>
        <v>0</v>
      </c>
    </row>
    <row r="44" spans="7:11">
      <c r="G44" s="38"/>
      <c r="H44" s="38"/>
      <c r="I44" s="38">
        <f t="shared" si="0"/>
        <v>0</v>
      </c>
    </row>
    <row r="45" spans="7:11">
      <c r="G45" s="38"/>
      <c r="H45" s="38"/>
      <c r="I45" s="38">
        <f t="shared" si="0"/>
        <v>0</v>
      </c>
      <c r="K45">
        <f>95200+8000+1200</f>
        <v>104400</v>
      </c>
    </row>
    <row r="46" spans="7:11" ht="15.75" thickBot="1">
      <c r="G46" s="40"/>
      <c r="H46" s="40"/>
      <c r="I46" s="40">
        <f>SUM(I32:I45)</f>
        <v>61000</v>
      </c>
    </row>
    <row r="47" spans="7:11" ht="15.75" thickTop="1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9"/>
  <sheetViews>
    <sheetView topLeftCell="A11" workbookViewId="0">
      <selection activeCell="L17" sqref="L17"/>
    </sheetView>
  </sheetViews>
  <sheetFormatPr defaultRowHeight="15"/>
  <cols>
    <col min="1" max="1" width="2.85546875" customWidth="1"/>
    <col min="2" max="2" width="10.5703125" style="39" bestFit="1" customWidth="1"/>
    <col min="3" max="3" width="9.28515625" style="39" bestFit="1" customWidth="1"/>
    <col min="4" max="4" width="10.28515625" style="39" customWidth="1"/>
    <col min="5" max="5" width="2.28515625" style="39" customWidth="1"/>
    <col min="6" max="7" width="9.28515625" style="39" bestFit="1" customWidth="1"/>
    <col min="8" max="8" width="13.28515625" style="39" customWidth="1"/>
    <col min="9" max="9" width="10.28515625" customWidth="1"/>
    <col min="10" max="10" width="12.42578125" customWidth="1"/>
    <col min="11" max="11" width="9" customWidth="1"/>
    <col min="12" max="12" width="11.5703125" style="39" bestFit="1" customWidth="1"/>
  </cols>
  <sheetData>
    <row r="1" spans="2:12">
      <c r="B1" s="38">
        <v>2400</v>
      </c>
      <c r="C1" s="38">
        <v>5650</v>
      </c>
      <c r="D1" s="38">
        <v>30400</v>
      </c>
      <c r="E1" s="32"/>
      <c r="F1" s="38">
        <v>12800</v>
      </c>
      <c r="G1" s="38">
        <v>13700</v>
      </c>
      <c r="H1" s="38">
        <v>8000</v>
      </c>
    </row>
    <row r="2" spans="2:12">
      <c r="B2" s="38">
        <v>1800</v>
      </c>
      <c r="C2" s="38">
        <v>5300</v>
      </c>
      <c r="D2" s="38">
        <v>4800</v>
      </c>
      <c r="E2" s="32"/>
      <c r="F2" s="38">
        <v>7500</v>
      </c>
      <c r="G2" s="38">
        <v>2000</v>
      </c>
      <c r="H2" s="38">
        <v>10100</v>
      </c>
    </row>
    <row r="3" spans="2:12">
      <c r="B3" s="38">
        <v>6000</v>
      </c>
      <c r="C3" s="38">
        <v>700</v>
      </c>
      <c r="D3" s="38">
        <v>6800</v>
      </c>
      <c r="E3" s="32"/>
      <c r="F3" s="38">
        <v>3600</v>
      </c>
      <c r="G3" s="38">
        <v>5000</v>
      </c>
      <c r="H3" s="38">
        <v>5600</v>
      </c>
    </row>
    <row r="4" spans="2:12">
      <c r="B4" s="38">
        <v>4600</v>
      </c>
      <c r="C4" s="38">
        <v>4600</v>
      </c>
      <c r="D4" s="38">
        <v>2600</v>
      </c>
      <c r="E4" s="32"/>
      <c r="F4" s="38">
        <v>2900</v>
      </c>
      <c r="G4" s="38">
        <v>10000</v>
      </c>
      <c r="H4" s="38">
        <v>4500</v>
      </c>
      <c r="J4" t="s">
        <v>2</v>
      </c>
    </row>
    <row r="5" spans="2:12">
      <c r="B5" s="38">
        <v>2000</v>
      </c>
      <c r="C5" s="38">
        <v>1700</v>
      </c>
      <c r="D5" s="38">
        <v>3700</v>
      </c>
      <c r="E5" s="32"/>
      <c r="F5" s="38">
        <v>24900</v>
      </c>
      <c r="G5" s="38">
        <v>3000</v>
      </c>
      <c r="H5" s="38">
        <v>3800</v>
      </c>
      <c r="J5" s="38"/>
      <c r="K5" s="45"/>
    </row>
    <row r="6" spans="2:12">
      <c r="B6" s="38">
        <v>16800</v>
      </c>
      <c r="C6" s="38">
        <v>15600</v>
      </c>
      <c r="D6" s="38">
        <v>7000</v>
      </c>
      <c r="E6" s="32"/>
      <c r="F6" s="38">
        <v>10000</v>
      </c>
      <c r="G6" s="38">
        <v>8100</v>
      </c>
      <c r="H6" s="38">
        <v>5200</v>
      </c>
      <c r="J6" s="38"/>
      <c r="K6" s="45"/>
    </row>
    <row r="7" spans="2:12">
      <c r="B7" s="38">
        <v>6800</v>
      </c>
      <c r="C7" s="38">
        <v>10000</v>
      </c>
      <c r="D7" s="38">
        <v>6200</v>
      </c>
      <c r="E7" s="32"/>
      <c r="F7" s="38">
        <v>4500</v>
      </c>
      <c r="G7" s="38">
        <v>8800</v>
      </c>
      <c r="H7" s="38">
        <v>4300</v>
      </c>
      <c r="J7" s="38"/>
      <c r="K7" s="48"/>
      <c r="L7" s="47"/>
    </row>
    <row r="8" spans="2:12">
      <c r="B8" s="38">
        <v>2000</v>
      </c>
      <c r="C8" s="38">
        <v>2600</v>
      </c>
      <c r="D8" s="38">
        <v>2000</v>
      </c>
      <c r="E8" s="32"/>
      <c r="F8" s="38">
        <v>8400</v>
      </c>
      <c r="G8" s="38">
        <v>1100</v>
      </c>
      <c r="H8" s="38">
        <v>2000</v>
      </c>
      <c r="J8" s="38"/>
      <c r="K8" s="48"/>
      <c r="L8" s="47"/>
    </row>
    <row r="9" spans="2:12">
      <c r="B9" s="38">
        <v>10400</v>
      </c>
      <c r="C9" s="38">
        <v>2700</v>
      </c>
      <c r="D9" s="38">
        <v>2000</v>
      </c>
      <c r="E9" s="32"/>
      <c r="F9" s="38">
        <v>4000</v>
      </c>
      <c r="G9" s="38">
        <v>2200</v>
      </c>
      <c r="H9" s="38">
        <v>4400</v>
      </c>
      <c r="J9" s="38"/>
      <c r="K9" s="48"/>
      <c r="L9" s="47"/>
    </row>
    <row r="10" spans="2:12">
      <c r="B10" s="38">
        <v>2900</v>
      </c>
      <c r="C10" s="38">
        <v>1500</v>
      </c>
      <c r="D10" s="38">
        <v>2600</v>
      </c>
      <c r="E10" s="32"/>
      <c r="F10" s="38">
        <v>3800</v>
      </c>
      <c r="G10" s="38">
        <v>3300</v>
      </c>
      <c r="H10" s="38">
        <v>16300</v>
      </c>
      <c r="J10" s="38"/>
      <c r="K10" s="48"/>
      <c r="L10" s="47"/>
    </row>
    <row r="11" spans="2:12">
      <c r="B11" s="38">
        <v>3000</v>
      </c>
      <c r="C11" s="38">
        <v>3000</v>
      </c>
      <c r="D11" s="38">
        <v>5800</v>
      </c>
      <c r="E11" s="32"/>
      <c r="F11" s="38">
        <v>2400</v>
      </c>
      <c r="G11" s="38">
        <v>1500</v>
      </c>
      <c r="H11" s="38">
        <v>6900</v>
      </c>
      <c r="J11" s="38"/>
      <c r="K11" s="48"/>
      <c r="L11" s="47"/>
    </row>
    <row r="12" spans="2:12">
      <c r="B12" s="38">
        <v>2000</v>
      </c>
      <c r="C12" s="38">
        <v>7500</v>
      </c>
      <c r="D12" s="38"/>
      <c r="E12" s="32"/>
      <c r="F12" s="38">
        <v>16300</v>
      </c>
      <c r="G12" s="38">
        <v>1800</v>
      </c>
      <c r="H12" s="38">
        <v>1000</v>
      </c>
      <c r="J12" s="38"/>
      <c r="K12" s="44"/>
    </row>
    <row r="13" spans="2:12">
      <c r="B13" s="38">
        <v>2500</v>
      </c>
      <c r="C13" s="38">
        <v>8200</v>
      </c>
      <c r="D13" s="38"/>
      <c r="E13" s="32"/>
      <c r="F13" s="38">
        <v>20400</v>
      </c>
      <c r="G13" s="38">
        <v>2600</v>
      </c>
      <c r="H13" s="38">
        <v>1000</v>
      </c>
      <c r="J13" s="38"/>
      <c r="K13" s="44"/>
    </row>
    <row r="14" spans="2:12">
      <c r="B14" s="38">
        <v>5800</v>
      </c>
      <c r="C14" s="38">
        <v>4200</v>
      </c>
      <c r="D14" s="38"/>
      <c r="E14" s="32"/>
      <c r="F14" s="38">
        <v>6400</v>
      </c>
      <c r="G14" s="38">
        <v>1100</v>
      </c>
      <c r="H14" s="38">
        <v>2500</v>
      </c>
      <c r="J14" s="38"/>
      <c r="K14" s="44"/>
    </row>
    <row r="15" spans="2:12">
      <c r="B15" s="38">
        <v>700</v>
      </c>
      <c r="C15" s="38">
        <v>2000</v>
      </c>
      <c r="D15" s="38"/>
      <c r="E15" s="32"/>
      <c r="F15" s="38">
        <v>2000</v>
      </c>
      <c r="G15" s="38">
        <v>21200</v>
      </c>
      <c r="H15" s="38">
        <v>3100</v>
      </c>
      <c r="J15" s="38"/>
      <c r="K15" s="44"/>
    </row>
    <row r="16" spans="2:12">
      <c r="B16" s="38">
        <v>3000</v>
      </c>
      <c r="C16" s="38">
        <v>2600</v>
      </c>
      <c r="D16" s="38"/>
      <c r="E16" s="32"/>
      <c r="F16" s="38">
        <v>7300</v>
      </c>
      <c r="G16" s="38">
        <v>11200</v>
      </c>
      <c r="H16" s="38"/>
      <c r="J16" s="38"/>
      <c r="K16" s="44"/>
    </row>
    <row r="17" spans="2:13">
      <c r="B17" s="38">
        <v>5600</v>
      </c>
      <c r="C17" s="38">
        <v>10600</v>
      </c>
      <c r="D17" s="38"/>
      <c r="E17" s="32"/>
      <c r="F17" s="38">
        <v>2200</v>
      </c>
      <c r="G17" s="38">
        <v>7900</v>
      </c>
      <c r="H17" s="38"/>
      <c r="J17" s="38"/>
      <c r="K17" s="44"/>
    </row>
    <row r="18" spans="2:13">
      <c r="B18" s="38">
        <v>4800</v>
      </c>
      <c r="C18" s="38">
        <v>1000</v>
      </c>
      <c r="D18" s="38"/>
      <c r="E18" s="32"/>
      <c r="F18" s="38">
        <v>900</v>
      </c>
      <c r="G18" s="38">
        <v>8200</v>
      </c>
      <c r="H18" s="38"/>
      <c r="J18" s="38"/>
      <c r="K18" s="44"/>
    </row>
    <row r="19" spans="2:13">
      <c r="B19" s="38">
        <v>800</v>
      </c>
      <c r="C19" s="38">
        <v>11000</v>
      </c>
      <c r="D19" s="38"/>
      <c r="E19" s="32"/>
      <c r="F19" s="38">
        <v>2000</v>
      </c>
      <c r="G19" s="38">
        <v>4000</v>
      </c>
      <c r="H19" s="38"/>
      <c r="J19" s="38"/>
      <c r="K19" s="44"/>
    </row>
    <row r="20" spans="2:13">
      <c r="B20" s="38">
        <v>4800</v>
      </c>
      <c r="C20" s="38">
        <v>2400</v>
      </c>
      <c r="D20" s="38"/>
      <c r="E20" s="32"/>
      <c r="F20" s="38">
        <v>5200</v>
      </c>
      <c r="G20" s="38">
        <v>3700</v>
      </c>
      <c r="H20" s="38"/>
      <c r="J20" s="38"/>
      <c r="K20" s="44"/>
    </row>
    <row r="21" spans="2:13" ht="15.75" thickBot="1">
      <c r="B21" s="38">
        <v>3000</v>
      </c>
      <c r="C21" s="38">
        <v>4200</v>
      </c>
      <c r="D21" s="38"/>
      <c r="E21" s="32"/>
      <c r="F21" s="38">
        <v>4200</v>
      </c>
      <c r="G21" s="38">
        <v>3900</v>
      </c>
      <c r="H21" s="38"/>
      <c r="J21" s="31">
        <f>SUM(J5:J20)</f>
        <v>0</v>
      </c>
      <c r="K21" s="44"/>
    </row>
    <row r="22" spans="2:13" ht="15.75" thickTop="1">
      <c r="B22" s="38">
        <v>2400</v>
      </c>
      <c r="C22" s="38">
        <v>3500</v>
      </c>
      <c r="D22" s="38"/>
      <c r="E22" s="32"/>
      <c r="F22" s="38">
        <v>4200</v>
      </c>
      <c r="G22" s="38">
        <v>2400</v>
      </c>
      <c r="H22" s="38"/>
    </row>
    <row r="23" spans="2:13">
      <c r="B23" s="38">
        <v>1100</v>
      </c>
      <c r="C23" s="38">
        <v>2500</v>
      </c>
      <c r="D23" s="38"/>
      <c r="E23" s="32"/>
      <c r="F23" s="38">
        <v>6700</v>
      </c>
      <c r="G23" s="38">
        <v>15000</v>
      </c>
      <c r="H23" s="38"/>
      <c r="J23" s="25" t="s">
        <v>0</v>
      </c>
      <c r="K23" s="33" t="s">
        <v>21</v>
      </c>
    </row>
    <row r="24" spans="2:13" s="39" customFormat="1" ht="15.75" thickBot="1">
      <c r="B24" s="26">
        <f>SUM(B1:B23)</f>
        <v>95200</v>
      </c>
      <c r="C24" s="26">
        <f>SUM(C1:C23)</f>
        <v>113050</v>
      </c>
      <c r="D24" s="26">
        <f>SUM(D1:D23)</f>
        <v>73900</v>
      </c>
      <c r="E24" s="27"/>
      <c r="F24" s="26">
        <f>SUM(F1:F23)</f>
        <v>162600</v>
      </c>
      <c r="G24" s="26">
        <f>SUM(G1:G23)</f>
        <v>141700</v>
      </c>
      <c r="H24" s="26">
        <f>SUM(H1:H23)</f>
        <v>78700</v>
      </c>
      <c r="I24" s="1">
        <f>+D25+H25</f>
        <v>665150</v>
      </c>
      <c r="J24" s="39">
        <v>81400</v>
      </c>
      <c r="K24" s="4">
        <v>1500</v>
      </c>
      <c r="L24" s="39">
        <f>SUM(I24:K24)</f>
        <v>748050</v>
      </c>
    </row>
    <row r="25" spans="2:13" ht="16.5" thickTop="1" thickBot="1">
      <c r="C25" s="28" t="s">
        <v>1</v>
      </c>
      <c r="D25" s="29">
        <f>SUM(B24:D24)</f>
        <v>282150</v>
      </c>
      <c r="E25" s="28"/>
      <c r="F25" s="28"/>
      <c r="G25" s="28" t="s">
        <v>17</v>
      </c>
      <c r="H25" s="29">
        <f>SUM(F24:H24)</f>
        <v>383000</v>
      </c>
      <c r="J25" s="3" t="s">
        <v>19</v>
      </c>
      <c r="K25" s="3"/>
      <c r="L25" s="2">
        <v>2900</v>
      </c>
    </row>
    <row r="26" spans="2:13">
      <c r="C26" s="39" t="s">
        <v>18</v>
      </c>
      <c r="D26" s="28">
        <v>257000</v>
      </c>
      <c r="G26" s="39" t="s">
        <v>18</v>
      </c>
      <c r="H26" s="39">
        <v>411050</v>
      </c>
      <c r="L26" s="39">
        <f>SUM(L24:L25)</f>
        <v>750950</v>
      </c>
    </row>
    <row r="27" spans="2:13" ht="15.75" thickBot="1">
      <c r="C27" s="39" t="s">
        <v>5</v>
      </c>
      <c r="D27" s="39">
        <f>+D25-D26</f>
        <v>25150</v>
      </c>
      <c r="G27" s="39" t="s">
        <v>5</v>
      </c>
      <c r="H27" s="39">
        <f>+H25-H26</f>
        <v>-28050</v>
      </c>
      <c r="J27" t="s">
        <v>4</v>
      </c>
      <c r="L27" s="2">
        <v>748800</v>
      </c>
    </row>
    <row r="28" spans="2:13">
      <c r="J28" s="3" t="s">
        <v>6</v>
      </c>
      <c r="L28" s="39">
        <f>+L26-L27</f>
        <v>2150</v>
      </c>
      <c r="M28" t="s">
        <v>28</v>
      </c>
    </row>
    <row r="29" spans="2:13">
      <c r="K29" s="3"/>
      <c r="L29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9"/>
  <sheetViews>
    <sheetView topLeftCell="A16" workbookViewId="0">
      <selection activeCell="M18" sqref="M18"/>
    </sheetView>
  </sheetViews>
  <sheetFormatPr defaultRowHeight="15"/>
  <cols>
    <col min="1" max="1" width="2.85546875" customWidth="1"/>
    <col min="2" max="2" width="10.5703125" style="47" bestFit="1" customWidth="1"/>
    <col min="3" max="3" width="9.28515625" style="47" bestFit="1" customWidth="1"/>
    <col min="4" max="4" width="10.28515625" style="47" customWidth="1"/>
    <col min="5" max="5" width="2.28515625" style="47" customWidth="1"/>
    <col min="6" max="7" width="9.28515625" style="47" bestFit="1" customWidth="1"/>
    <col min="8" max="8" width="13.28515625" style="47" customWidth="1"/>
    <col min="9" max="9" width="10.28515625" customWidth="1"/>
    <col min="10" max="10" width="12.42578125" customWidth="1"/>
    <col min="11" max="11" width="9" customWidth="1"/>
    <col min="12" max="12" width="11.5703125" style="47" bestFit="1" customWidth="1"/>
  </cols>
  <sheetData>
    <row r="1" spans="2:11">
      <c r="B1" s="38">
        <v>2100</v>
      </c>
      <c r="C1" s="38">
        <v>1900</v>
      </c>
      <c r="D1" s="38"/>
      <c r="E1" s="32"/>
      <c r="F1" s="38">
        <v>5100</v>
      </c>
      <c r="G1" s="38">
        <v>3400</v>
      </c>
      <c r="H1" s="38">
        <v>5900</v>
      </c>
    </row>
    <row r="2" spans="2:11">
      <c r="B2" s="38">
        <v>2100</v>
      </c>
      <c r="C2" s="38">
        <v>2600</v>
      </c>
      <c r="D2" s="38"/>
      <c r="E2" s="32"/>
      <c r="F2" s="38">
        <v>3300</v>
      </c>
      <c r="G2" s="38">
        <v>2000</v>
      </c>
      <c r="H2" s="38">
        <v>6700</v>
      </c>
    </row>
    <row r="3" spans="2:11">
      <c r="B3" s="38">
        <v>3100</v>
      </c>
      <c r="C3" s="38">
        <v>2200</v>
      </c>
      <c r="D3" s="38"/>
      <c r="E3" s="32"/>
      <c r="F3" s="38">
        <v>1000</v>
      </c>
      <c r="G3" s="38">
        <v>3900</v>
      </c>
      <c r="H3" s="38">
        <v>8000</v>
      </c>
    </row>
    <row r="4" spans="2:11">
      <c r="B4" s="38">
        <v>9400</v>
      </c>
      <c r="C4" s="38">
        <v>6100</v>
      </c>
      <c r="D4" s="38"/>
      <c r="E4" s="32"/>
      <c r="F4" s="38">
        <v>3000</v>
      </c>
      <c r="G4" s="38">
        <v>9100</v>
      </c>
      <c r="H4" s="38">
        <v>4000</v>
      </c>
      <c r="J4" t="s">
        <v>2</v>
      </c>
    </row>
    <row r="5" spans="2:11">
      <c r="B5" s="38">
        <v>3650</v>
      </c>
      <c r="C5" s="38">
        <v>4900</v>
      </c>
      <c r="D5" s="38"/>
      <c r="E5" s="32"/>
      <c r="F5" s="38">
        <v>2000</v>
      </c>
      <c r="G5" s="38">
        <v>2400</v>
      </c>
      <c r="H5" s="38"/>
      <c r="J5" s="38"/>
      <c r="K5" s="48"/>
    </row>
    <row r="6" spans="2:11">
      <c r="B6" s="38">
        <v>2400</v>
      </c>
      <c r="C6" s="38">
        <v>1000</v>
      </c>
      <c r="D6" s="38"/>
      <c r="E6" s="32"/>
      <c r="F6" s="38">
        <v>3300</v>
      </c>
      <c r="G6" s="38">
        <v>10000</v>
      </c>
      <c r="H6" s="38"/>
      <c r="J6" s="38"/>
      <c r="K6" s="48"/>
    </row>
    <row r="7" spans="2:11">
      <c r="B7" s="38">
        <v>5550</v>
      </c>
      <c r="C7" s="38">
        <v>4300</v>
      </c>
      <c r="D7" s="38"/>
      <c r="E7" s="32"/>
      <c r="F7" s="38">
        <v>1400</v>
      </c>
      <c r="G7" s="38">
        <v>6800</v>
      </c>
      <c r="H7" s="38"/>
      <c r="J7" s="38"/>
      <c r="K7" s="48"/>
    </row>
    <row r="8" spans="2:11">
      <c r="B8" s="38">
        <v>3400</v>
      </c>
      <c r="C8" s="38">
        <v>1400</v>
      </c>
      <c r="D8" s="38"/>
      <c r="E8" s="32"/>
      <c r="F8" s="38">
        <v>3000</v>
      </c>
      <c r="G8" s="38">
        <v>3100</v>
      </c>
      <c r="H8" s="38"/>
      <c r="J8" s="38"/>
      <c r="K8" s="48"/>
    </row>
    <row r="9" spans="2:11">
      <c r="B9" s="38">
        <v>700</v>
      </c>
      <c r="C9" s="38">
        <v>3300</v>
      </c>
      <c r="D9" s="38"/>
      <c r="E9" s="32"/>
      <c r="F9" s="38">
        <v>2000</v>
      </c>
      <c r="G9" s="38">
        <v>600</v>
      </c>
      <c r="H9" s="38"/>
      <c r="J9" s="38"/>
      <c r="K9" s="48"/>
    </row>
    <row r="10" spans="2:11">
      <c r="B10" s="38">
        <v>2100</v>
      </c>
      <c r="C10" s="38">
        <v>3800</v>
      </c>
      <c r="D10" s="38"/>
      <c r="E10" s="32"/>
      <c r="F10" s="38">
        <v>4000</v>
      </c>
      <c r="G10" s="38">
        <v>7400</v>
      </c>
      <c r="H10" s="38"/>
      <c r="J10" s="38"/>
      <c r="K10" s="48"/>
    </row>
    <row r="11" spans="2:11">
      <c r="B11" s="38">
        <v>2000</v>
      </c>
      <c r="C11" s="38">
        <v>3400</v>
      </c>
      <c r="D11" s="38"/>
      <c r="E11" s="32"/>
      <c r="F11" s="38">
        <v>2000</v>
      </c>
      <c r="G11" s="38">
        <v>2000</v>
      </c>
      <c r="H11" s="38"/>
      <c r="J11" s="38"/>
      <c r="K11" s="48"/>
    </row>
    <row r="12" spans="2:11">
      <c r="B12" s="38">
        <v>5600</v>
      </c>
      <c r="C12" s="38">
        <v>9000</v>
      </c>
      <c r="D12" s="38"/>
      <c r="E12" s="32"/>
      <c r="F12" s="38">
        <v>2000</v>
      </c>
      <c r="G12" s="38">
        <v>2400</v>
      </c>
      <c r="H12" s="38"/>
      <c r="J12" s="38"/>
      <c r="K12" s="48"/>
    </row>
    <row r="13" spans="2:11">
      <c r="B13" s="38">
        <v>7000</v>
      </c>
      <c r="C13" s="38">
        <v>8500</v>
      </c>
      <c r="D13" s="38"/>
      <c r="E13" s="32"/>
      <c r="F13" s="38">
        <v>2000</v>
      </c>
      <c r="G13" s="38">
        <v>500</v>
      </c>
      <c r="H13" s="38"/>
      <c r="J13" s="38"/>
      <c r="K13" s="48"/>
    </row>
    <row r="14" spans="2:11">
      <c r="B14" s="38">
        <v>5400</v>
      </c>
      <c r="C14" s="38">
        <v>5200</v>
      </c>
      <c r="D14" s="38"/>
      <c r="E14" s="32"/>
      <c r="F14" s="38">
        <v>2500</v>
      </c>
      <c r="G14" s="38">
        <v>8900</v>
      </c>
      <c r="H14" s="38"/>
      <c r="J14" s="38"/>
      <c r="K14" s="48"/>
    </row>
    <row r="15" spans="2:11">
      <c r="B15" s="38">
        <v>3900</v>
      </c>
      <c r="C15" s="38">
        <v>4900</v>
      </c>
      <c r="D15" s="38"/>
      <c r="E15" s="32"/>
      <c r="F15" s="38">
        <v>8000</v>
      </c>
      <c r="G15" s="38">
        <v>8800</v>
      </c>
      <c r="H15" s="38"/>
      <c r="J15" s="38"/>
      <c r="K15" s="48"/>
    </row>
    <row r="16" spans="2:11">
      <c r="B16" s="38">
        <v>4100</v>
      </c>
      <c r="C16" s="38">
        <v>12700</v>
      </c>
      <c r="D16" s="38"/>
      <c r="E16" s="32"/>
      <c r="F16" s="38">
        <v>8600</v>
      </c>
      <c r="G16" s="38">
        <v>2800</v>
      </c>
      <c r="H16" s="38"/>
      <c r="J16" s="38"/>
      <c r="K16" s="48"/>
    </row>
    <row r="17" spans="2:13">
      <c r="B17" s="38">
        <v>4200</v>
      </c>
      <c r="C17" s="38">
        <v>4700</v>
      </c>
      <c r="D17" s="38"/>
      <c r="E17" s="32"/>
      <c r="F17" s="38">
        <v>10100</v>
      </c>
      <c r="G17" s="38">
        <v>3000</v>
      </c>
      <c r="H17" s="38"/>
      <c r="J17" s="38"/>
      <c r="K17" s="48"/>
    </row>
    <row r="18" spans="2:13">
      <c r="B18" s="38">
        <v>11900</v>
      </c>
      <c r="C18" s="38">
        <v>5600</v>
      </c>
      <c r="D18" s="38"/>
      <c r="E18" s="32"/>
      <c r="F18" s="38">
        <v>6100</v>
      </c>
      <c r="G18" s="38">
        <v>4500</v>
      </c>
      <c r="H18" s="38"/>
      <c r="J18" s="38"/>
      <c r="K18" s="48"/>
    </row>
    <row r="19" spans="2:13">
      <c r="B19" s="38">
        <v>4200</v>
      </c>
      <c r="C19" s="38">
        <v>4500</v>
      </c>
      <c r="D19" s="38"/>
      <c r="E19" s="32"/>
      <c r="F19" s="38">
        <v>2300</v>
      </c>
      <c r="G19" s="38">
        <v>4200</v>
      </c>
      <c r="H19" s="38"/>
      <c r="J19" s="38"/>
      <c r="K19" s="48"/>
    </row>
    <row r="20" spans="2:13">
      <c r="B20" s="38">
        <v>6300</v>
      </c>
      <c r="C20" s="38">
        <v>2800</v>
      </c>
      <c r="D20" s="38"/>
      <c r="E20" s="32"/>
      <c r="F20" s="38">
        <v>15000</v>
      </c>
      <c r="G20" s="38">
        <v>6000</v>
      </c>
      <c r="H20" s="38"/>
      <c r="J20" s="38"/>
      <c r="K20" s="48"/>
    </row>
    <row r="21" spans="2:13" ht="15.75" thickBot="1">
      <c r="B21" s="38">
        <v>3100</v>
      </c>
      <c r="C21" s="38"/>
      <c r="D21" s="38"/>
      <c r="E21" s="32"/>
      <c r="F21" s="38">
        <v>3000</v>
      </c>
      <c r="G21" s="38">
        <v>1000</v>
      </c>
      <c r="H21" s="38"/>
      <c r="J21" s="31">
        <f>SUM(J5:J20)</f>
        <v>0</v>
      </c>
      <c r="K21" s="48"/>
    </row>
    <row r="22" spans="2:13" ht="15.75" thickTop="1">
      <c r="B22" s="38">
        <v>4260</v>
      </c>
      <c r="C22" s="38"/>
      <c r="D22" s="38"/>
      <c r="E22" s="32"/>
      <c r="F22" s="38">
        <v>1800</v>
      </c>
      <c r="G22" s="38">
        <v>2200</v>
      </c>
      <c r="H22" s="38"/>
    </row>
    <row r="23" spans="2:13">
      <c r="B23" s="38">
        <v>8200</v>
      </c>
      <c r="C23" s="38"/>
      <c r="D23" s="38"/>
      <c r="E23" s="32"/>
      <c r="F23" s="38">
        <v>7000</v>
      </c>
      <c r="G23" s="38">
        <v>7600</v>
      </c>
      <c r="H23" s="38"/>
      <c r="J23" s="25" t="s">
        <v>0</v>
      </c>
      <c r="K23" s="33" t="s">
        <v>21</v>
      </c>
    </row>
    <row r="24" spans="2:13" s="47" customFormat="1" ht="15.75" thickBot="1">
      <c r="B24" s="26">
        <f>SUM(B1:B23)</f>
        <v>104660</v>
      </c>
      <c r="C24" s="26">
        <f>SUM(C1:C23)</f>
        <v>92800</v>
      </c>
      <c r="D24" s="26">
        <f>SUM(D1:D23)</f>
        <v>0</v>
      </c>
      <c r="E24" s="27"/>
      <c r="F24" s="26">
        <f>SUM(F1:F23)</f>
        <v>98500</v>
      </c>
      <c r="G24" s="26">
        <f>SUM(G1:G23)</f>
        <v>102600</v>
      </c>
      <c r="H24" s="26">
        <f>SUM(H1:H23)</f>
        <v>24600</v>
      </c>
      <c r="I24" s="1">
        <f>+D25+H25</f>
        <v>423160</v>
      </c>
      <c r="J24" s="47">
        <f>69500+9200</f>
        <v>78700</v>
      </c>
      <c r="K24" s="4">
        <v>44000</v>
      </c>
      <c r="L24" s="47">
        <f>SUM(I24:K24)</f>
        <v>545860</v>
      </c>
    </row>
    <row r="25" spans="2:13" ht="16.5" thickTop="1" thickBot="1">
      <c r="C25" s="28" t="s">
        <v>1</v>
      </c>
      <c r="D25" s="29">
        <f>SUM(B24:D24)</f>
        <v>197460</v>
      </c>
      <c r="E25" s="28"/>
      <c r="F25" s="28"/>
      <c r="G25" s="28" t="s">
        <v>17</v>
      </c>
      <c r="H25" s="29">
        <f>SUM(F24:H24)</f>
        <v>225700</v>
      </c>
      <c r="J25" s="3" t="s">
        <v>19</v>
      </c>
      <c r="K25" s="3"/>
      <c r="L25" s="2"/>
    </row>
    <row r="26" spans="2:13">
      <c r="C26" s="47" t="s">
        <v>18</v>
      </c>
      <c r="D26" s="28">
        <v>197400</v>
      </c>
      <c r="G26" s="47" t="s">
        <v>18</v>
      </c>
      <c r="H26" s="47">
        <v>225700</v>
      </c>
      <c r="L26" s="47">
        <f>SUM(L24:L25)</f>
        <v>545860</v>
      </c>
    </row>
    <row r="27" spans="2:13" ht="15.75" thickBot="1">
      <c r="C27" s="47" t="s">
        <v>5</v>
      </c>
      <c r="D27" s="47">
        <f>+D25-D26</f>
        <v>60</v>
      </c>
      <c r="G27" s="47" t="s">
        <v>5</v>
      </c>
      <c r="H27" s="47">
        <f>+H25-H26</f>
        <v>0</v>
      </c>
      <c r="J27" t="s">
        <v>4</v>
      </c>
      <c r="L27" s="2">
        <v>543250</v>
      </c>
    </row>
    <row r="28" spans="2:13">
      <c r="J28" s="3" t="s">
        <v>6</v>
      </c>
      <c r="L28" s="47">
        <f>+L26-L27</f>
        <v>2610</v>
      </c>
      <c r="M28" t="s">
        <v>45</v>
      </c>
    </row>
    <row r="29" spans="2:13">
      <c r="K29" s="3"/>
      <c r="L29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0"/>
  <sheetViews>
    <sheetView topLeftCell="A10" workbookViewId="0">
      <selection activeCell="J25" sqref="J25"/>
    </sheetView>
  </sheetViews>
  <sheetFormatPr defaultRowHeight="15"/>
  <cols>
    <col min="1" max="1" width="2.85546875" customWidth="1"/>
    <col min="2" max="2" width="10.5703125" style="47" bestFit="1" customWidth="1"/>
    <col min="3" max="3" width="9.28515625" style="47" bestFit="1" customWidth="1"/>
    <col min="4" max="4" width="10.28515625" style="47" customWidth="1"/>
    <col min="5" max="5" width="2.28515625" style="47" customWidth="1"/>
    <col min="6" max="7" width="9.28515625" style="47" bestFit="1" customWidth="1"/>
    <col min="8" max="8" width="12.5703125" style="47" customWidth="1"/>
    <col min="9" max="9" width="10.28515625" customWidth="1"/>
    <col min="10" max="10" width="12.42578125" customWidth="1"/>
    <col min="11" max="11" width="9" customWidth="1"/>
    <col min="12" max="12" width="11.5703125" style="47" bestFit="1" customWidth="1"/>
  </cols>
  <sheetData>
    <row r="1" spans="2:11">
      <c r="B1" s="54" t="s">
        <v>1</v>
      </c>
      <c r="F1" s="54" t="s">
        <v>51</v>
      </c>
    </row>
    <row r="2" spans="2:11">
      <c r="B2" s="38">
        <v>13000</v>
      </c>
      <c r="C2" s="38">
        <v>6900</v>
      </c>
      <c r="D2" s="38">
        <v>11300</v>
      </c>
      <c r="E2" s="32"/>
      <c r="F2" s="38">
        <v>3000</v>
      </c>
      <c r="G2" s="38">
        <v>11300</v>
      </c>
      <c r="H2" s="38"/>
    </row>
    <row r="3" spans="2:11">
      <c r="B3" s="38">
        <v>2000</v>
      </c>
      <c r="C3" s="38">
        <v>2000</v>
      </c>
      <c r="D3" s="38">
        <v>1100</v>
      </c>
      <c r="E3" s="32"/>
      <c r="F3" s="38">
        <v>250</v>
      </c>
      <c r="G3" s="38">
        <v>10800</v>
      </c>
      <c r="H3" s="38"/>
    </row>
    <row r="4" spans="2:11">
      <c r="B4" s="38">
        <v>8000</v>
      </c>
      <c r="C4" s="38">
        <v>2900</v>
      </c>
      <c r="D4" s="38">
        <v>3900</v>
      </c>
      <c r="E4" s="32"/>
      <c r="F4" s="38">
        <v>23000</v>
      </c>
      <c r="G4" s="38">
        <v>5000</v>
      </c>
      <c r="H4" s="38"/>
    </row>
    <row r="5" spans="2:11">
      <c r="B5" s="38">
        <v>10300</v>
      </c>
      <c r="C5" s="38">
        <v>3000</v>
      </c>
      <c r="D5" s="38">
        <v>1500</v>
      </c>
      <c r="E5" s="32"/>
      <c r="F5" s="38">
        <v>5000</v>
      </c>
      <c r="G5" s="38">
        <v>2000</v>
      </c>
      <c r="H5" s="38"/>
      <c r="J5" t="s">
        <v>2</v>
      </c>
    </row>
    <row r="6" spans="2:11">
      <c r="B6" s="38">
        <v>4200</v>
      </c>
      <c r="C6" s="38">
        <v>30800</v>
      </c>
      <c r="D6" s="38">
        <v>1500</v>
      </c>
      <c r="E6" s="32"/>
      <c r="F6" s="38">
        <v>4200</v>
      </c>
      <c r="G6" s="38">
        <v>3400</v>
      </c>
      <c r="H6" s="38"/>
      <c r="J6" s="38">
        <v>2000</v>
      </c>
      <c r="K6" s="57" t="s">
        <v>54</v>
      </c>
    </row>
    <row r="7" spans="2:11">
      <c r="B7" s="38">
        <v>3700</v>
      </c>
      <c r="C7" s="38">
        <v>3100</v>
      </c>
      <c r="D7" s="38">
        <v>4700</v>
      </c>
      <c r="E7" s="32"/>
      <c r="F7" s="38">
        <v>900</v>
      </c>
      <c r="G7" s="38">
        <v>4000</v>
      </c>
      <c r="H7" s="38"/>
      <c r="J7" s="38">
        <v>500</v>
      </c>
      <c r="K7" s="57" t="s">
        <v>55</v>
      </c>
    </row>
    <row r="8" spans="2:11">
      <c r="B8" s="38">
        <v>3300</v>
      </c>
      <c r="C8" s="38">
        <v>3000</v>
      </c>
      <c r="D8" s="38"/>
      <c r="E8" s="32"/>
      <c r="F8" s="38">
        <v>2000</v>
      </c>
      <c r="G8" s="38">
        <v>2900</v>
      </c>
      <c r="H8" s="38"/>
      <c r="J8" s="38"/>
      <c r="K8" s="48"/>
    </row>
    <row r="9" spans="2:11">
      <c r="B9" s="38">
        <v>2850</v>
      </c>
      <c r="C9" s="38">
        <v>2000</v>
      </c>
      <c r="D9" s="38"/>
      <c r="E9" s="32"/>
      <c r="F9" s="38">
        <v>1000</v>
      </c>
      <c r="G9" s="38">
        <v>5100</v>
      </c>
      <c r="H9" s="38"/>
      <c r="J9" s="38"/>
      <c r="K9" s="48"/>
    </row>
    <row r="10" spans="2:11">
      <c r="B10" s="38">
        <v>9600</v>
      </c>
      <c r="C10" s="38">
        <v>1100</v>
      </c>
      <c r="D10" s="38"/>
      <c r="E10" s="32"/>
      <c r="F10" s="38">
        <v>3000</v>
      </c>
      <c r="G10" s="38">
        <v>10200</v>
      </c>
      <c r="H10" s="38"/>
      <c r="J10" s="38"/>
      <c r="K10" s="48"/>
    </row>
    <row r="11" spans="2:11">
      <c r="B11" s="38">
        <v>2450</v>
      </c>
      <c r="C11" s="38">
        <v>1000</v>
      </c>
      <c r="D11" s="38"/>
      <c r="E11" s="32"/>
      <c r="F11" s="38">
        <v>3500</v>
      </c>
      <c r="G11" s="38">
        <v>3200</v>
      </c>
      <c r="H11" s="38"/>
      <c r="J11" s="38"/>
      <c r="K11" s="48"/>
    </row>
    <row r="12" spans="2:11">
      <c r="B12" s="38">
        <v>3300</v>
      </c>
      <c r="C12" s="38">
        <v>3300</v>
      </c>
      <c r="D12" s="38"/>
      <c r="E12" s="32"/>
      <c r="F12" s="38">
        <v>10000</v>
      </c>
      <c r="G12" s="38">
        <v>6600</v>
      </c>
      <c r="H12" s="38"/>
      <c r="J12" s="38"/>
      <c r="K12" s="48"/>
    </row>
    <row r="13" spans="2:11">
      <c r="B13" s="38">
        <v>5300</v>
      </c>
      <c r="C13" s="38">
        <v>1600</v>
      </c>
      <c r="D13" s="38"/>
      <c r="E13" s="32"/>
      <c r="F13" s="38">
        <v>2200</v>
      </c>
      <c r="G13" s="38">
        <v>4700</v>
      </c>
      <c r="H13" s="38"/>
      <c r="J13" s="38"/>
      <c r="K13" s="48"/>
    </row>
    <row r="14" spans="2:11">
      <c r="B14" s="38">
        <v>4000</v>
      </c>
      <c r="C14" s="38">
        <v>5900</v>
      </c>
      <c r="D14" s="38"/>
      <c r="E14" s="32"/>
      <c r="F14" s="38">
        <v>9000</v>
      </c>
      <c r="G14" s="38">
        <v>3000</v>
      </c>
      <c r="H14" s="38"/>
      <c r="J14" s="38"/>
      <c r="K14" s="48"/>
    </row>
    <row r="15" spans="2:11">
      <c r="B15" s="38">
        <v>5700</v>
      </c>
      <c r="C15" s="38">
        <v>7500</v>
      </c>
      <c r="D15" s="38"/>
      <c r="E15" s="32"/>
      <c r="F15" s="38">
        <v>2500</v>
      </c>
      <c r="G15" s="38">
        <v>6500</v>
      </c>
      <c r="H15" s="38"/>
      <c r="J15" s="38"/>
      <c r="K15" s="48"/>
    </row>
    <row r="16" spans="2:11">
      <c r="B16" s="38">
        <v>2500</v>
      </c>
      <c r="C16" s="38">
        <v>3800</v>
      </c>
      <c r="D16" s="38"/>
      <c r="E16" s="32"/>
      <c r="F16" s="38">
        <v>7300</v>
      </c>
      <c r="G16" s="38">
        <v>5200</v>
      </c>
      <c r="H16" s="38"/>
      <c r="J16" s="38"/>
      <c r="K16" s="48"/>
    </row>
    <row r="17" spans="2:13">
      <c r="B17" s="38">
        <v>3500</v>
      </c>
      <c r="C17" s="38">
        <v>2600</v>
      </c>
      <c r="D17" s="38"/>
      <c r="E17" s="32"/>
      <c r="F17" s="38">
        <v>1750</v>
      </c>
      <c r="G17" s="38">
        <v>2600</v>
      </c>
      <c r="H17" s="38"/>
      <c r="J17" s="38"/>
      <c r="K17" s="48"/>
    </row>
    <row r="18" spans="2:13">
      <c r="B18" s="38">
        <v>5000</v>
      </c>
      <c r="C18" s="38">
        <v>4950</v>
      </c>
      <c r="D18" s="38"/>
      <c r="E18" s="32"/>
      <c r="F18" s="38">
        <v>2100</v>
      </c>
      <c r="G18" s="38">
        <v>5500</v>
      </c>
      <c r="H18" s="38"/>
      <c r="J18" s="38"/>
      <c r="K18" s="48"/>
    </row>
    <row r="19" spans="2:13">
      <c r="B19" s="38">
        <v>3900</v>
      </c>
      <c r="C19" s="38">
        <v>5400</v>
      </c>
      <c r="D19" s="38"/>
      <c r="E19" s="32"/>
      <c r="F19" s="38">
        <v>14000</v>
      </c>
      <c r="G19" s="38">
        <v>11500</v>
      </c>
      <c r="H19" s="38"/>
      <c r="J19" s="38"/>
      <c r="K19" s="48"/>
    </row>
    <row r="20" spans="2:13">
      <c r="B20" s="38">
        <v>1100</v>
      </c>
      <c r="C20" s="38">
        <v>4100</v>
      </c>
      <c r="D20" s="38"/>
      <c r="E20" s="32"/>
      <c r="F20" s="38">
        <v>4000</v>
      </c>
      <c r="G20" s="38">
        <v>7700</v>
      </c>
      <c r="H20" s="38"/>
      <c r="J20" s="38"/>
      <c r="K20" s="48"/>
    </row>
    <row r="21" spans="2:13">
      <c r="B21" s="38">
        <v>2000</v>
      </c>
      <c r="C21" s="38">
        <v>13100</v>
      </c>
      <c r="D21" s="38"/>
      <c r="E21" s="32"/>
      <c r="F21" s="38">
        <v>1500</v>
      </c>
      <c r="G21" s="38">
        <v>5800</v>
      </c>
      <c r="H21" s="38"/>
      <c r="J21" s="38"/>
      <c r="K21" s="48"/>
    </row>
    <row r="22" spans="2:13" ht="15.75" thickBot="1">
      <c r="B22" s="38">
        <v>1800</v>
      </c>
      <c r="C22" s="38">
        <v>4900</v>
      </c>
      <c r="D22" s="38"/>
      <c r="E22" s="32"/>
      <c r="F22" s="38">
        <v>2000</v>
      </c>
      <c r="G22" s="38"/>
      <c r="H22" s="38"/>
      <c r="J22" s="31">
        <f>SUM(J6:J21)</f>
        <v>2500</v>
      </c>
      <c r="K22" s="48"/>
    </row>
    <row r="23" spans="2:13" ht="15.75" thickTop="1">
      <c r="B23" s="38">
        <v>2700</v>
      </c>
      <c r="C23" s="38">
        <v>16400</v>
      </c>
      <c r="D23" s="38"/>
      <c r="E23" s="32"/>
      <c r="F23" s="38">
        <v>11150</v>
      </c>
      <c r="G23" s="38"/>
      <c r="H23" s="38"/>
    </row>
    <row r="24" spans="2:13">
      <c r="B24" s="38">
        <v>2000</v>
      </c>
      <c r="C24" s="38">
        <v>4000</v>
      </c>
      <c r="D24" s="38"/>
      <c r="E24" s="32"/>
      <c r="F24" s="38">
        <v>1000</v>
      </c>
      <c r="G24" s="38"/>
      <c r="H24" s="38"/>
      <c r="J24" s="25" t="s">
        <v>0</v>
      </c>
      <c r="K24" s="33" t="s">
        <v>21</v>
      </c>
    </row>
    <row r="25" spans="2:13" s="47" customFormat="1" ht="15.75" thickBot="1">
      <c r="B25" s="26">
        <f>SUM(B2:B24)</f>
        <v>102200</v>
      </c>
      <c r="C25" s="26">
        <f>SUM(C2:C24)</f>
        <v>133350</v>
      </c>
      <c r="D25" s="26">
        <f>SUM(D2:D24)</f>
        <v>24000</v>
      </c>
      <c r="E25" s="27"/>
      <c r="F25" s="26">
        <f>SUM(F2:F24)</f>
        <v>114350</v>
      </c>
      <c r="G25" s="26">
        <f>SUM(G2:G24)</f>
        <v>117000</v>
      </c>
      <c r="H25" s="26">
        <f>SUM(H2:H24)</f>
        <v>0</v>
      </c>
      <c r="I25" s="1">
        <f>+D26+H26</f>
        <v>490900</v>
      </c>
      <c r="J25" s="47">
        <v>31900</v>
      </c>
      <c r="K25" s="4">
        <v>16900</v>
      </c>
      <c r="L25" s="47">
        <f>SUM(I25:K25)</f>
        <v>539700</v>
      </c>
    </row>
    <row r="26" spans="2:13" ht="16.5" thickTop="1" thickBot="1">
      <c r="C26" s="28" t="s">
        <v>1</v>
      </c>
      <c r="D26" s="29">
        <f>SUM(B25:D25)</f>
        <v>259550</v>
      </c>
      <c r="E26" s="28"/>
      <c r="F26" s="28"/>
      <c r="G26" s="28" t="s">
        <v>17</v>
      </c>
      <c r="H26" s="29">
        <f>SUM(F25:H25)</f>
        <v>231350</v>
      </c>
      <c r="J26" s="3" t="s">
        <v>19</v>
      </c>
      <c r="K26" s="3"/>
      <c r="L26" s="2">
        <v>7000</v>
      </c>
    </row>
    <row r="27" spans="2:13">
      <c r="C27" s="47" t="s">
        <v>18</v>
      </c>
      <c r="D27" s="28">
        <v>249000</v>
      </c>
      <c r="G27" s="47" t="s">
        <v>18</v>
      </c>
      <c r="H27" s="47">
        <v>248900</v>
      </c>
      <c r="L27" s="47">
        <f>SUM(L25:L26)</f>
        <v>546700</v>
      </c>
    </row>
    <row r="28" spans="2:13" ht="15.75" thickBot="1">
      <c r="C28" s="47" t="s">
        <v>5</v>
      </c>
      <c r="D28" s="47">
        <f>+D26-D27</f>
        <v>10550</v>
      </c>
      <c r="G28" s="47" t="s">
        <v>5</v>
      </c>
      <c r="H28" s="47">
        <f>+H26-H27</f>
        <v>-17550</v>
      </c>
      <c r="J28" t="s">
        <v>4</v>
      </c>
      <c r="L28" s="2">
        <v>555850</v>
      </c>
    </row>
    <row r="29" spans="2:13">
      <c r="J29" s="3" t="s">
        <v>6</v>
      </c>
      <c r="L29" s="47">
        <f>+L27-L28</f>
        <v>-9150</v>
      </c>
      <c r="M29" t="s">
        <v>53</v>
      </c>
    </row>
    <row r="30" spans="2:13">
      <c r="K30" s="3"/>
      <c r="L30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0"/>
  <sheetViews>
    <sheetView topLeftCell="A10" workbookViewId="0">
      <selection activeCell="L26" sqref="L26"/>
    </sheetView>
  </sheetViews>
  <sheetFormatPr defaultRowHeight="15"/>
  <cols>
    <col min="1" max="1" width="2.85546875" customWidth="1"/>
    <col min="2" max="2" width="10.5703125" style="54" bestFit="1" customWidth="1"/>
    <col min="3" max="3" width="9.28515625" style="54" bestFit="1" customWidth="1"/>
    <col min="4" max="4" width="10.28515625" style="54" customWidth="1"/>
    <col min="5" max="5" width="2.28515625" style="54" customWidth="1"/>
    <col min="6" max="7" width="9.28515625" style="54" bestFit="1" customWidth="1"/>
    <col min="8" max="8" width="13.28515625" style="54" customWidth="1"/>
    <col min="9" max="9" width="10.28515625" customWidth="1"/>
    <col min="10" max="10" width="12.42578125" customWidth="1"/>
    <col min="11" max="11" width="9" customWidth="1"/>
    <col min="12" max="12" width="11.5703125" style="54" bestFit="1" customWidth="1"/>
  </cols>
  <sheetData>
    <row r="1" spans="2:11">
      <c r="B1" s="54" t="s">
        <v>1</v>
      </c>
      <c r="F1" s="54" t="s">
        <v>51</v>
      </c>
    </row>
    <row r="2" spans="2:11">
      <c r="B2" s="38">
        <v>6200</v>
      </c>
      <c r="C2" s="38"/>
      <c r="D2" s="38">
        <v>6000</v>
      </c>
      <c r="E2" s="32"/>
      <c r="F2" s="38">
        <v>3200</v>
      </c>
      <c r="G2" s="38">
        <v>4200</v>
      </c>
      <c r="H2" s="38">
        <v>2000</v>
      </c>
    </row>
    <row r="3" spans="2:11">
      <c r="B3" s="38">
        <v>1800</v>
      </c>
      <c r="C3" s="38">
        <v>2000</v>
      </c>
      <c r="D3" s="38">
        <v>9300</v>
      </c>
      <c r="E3" s="32"/>
      <c r="F3" s="38">
        <v>12400</v>
      </c>
      <c r="G3" s="38">
        <v>5100</v>
      </c>
      <c r="H3" s="38">
        <v>4600</v>
      </c>
    </row>
    <row r="4" spans="2:11">
      <c r="B4" s="38">
        <v>4000</v>
      </c>
      <c r="C4" s="38">
        <v>2100</v>
      </c>
      <c r="D4" s="38">
        <v>5250</v>
      </c>
      <c r="E4" s="32"/>
      <c r="F4" s="38">
        <v>2500</v>
      </c>
      <c r="G4" s="38">
        <v>7100</v>
      </c>
      <c r="H4" s="38">
        <v>2000</v>
      </c>
    </row>
    <row r="5" spans="2:11">
      <c r="B5" s="38">
        <v>4850</v>
      </c>
      <c r="C5" s="38">
        <v>4900</v>
      </c>
      <c r="D5" s="38">
        <v>5400</v>
      </c>
      <c r="E5" s="32"/>
      <c r="F5" s="38">
        <v>6800</v>
      </c>
      <c r="G5" s="38">
        <v>12100</v>
      </c>
      <c r="H5" s="38">
        <v>2300</v>
      </c>
      <c r="J5" t="s">
        <v>2</v>
      </c>
    </row>
    <row r="6" spans="2:11">
      <c r="B6" s="38">
        <v>1000</v>
      </c>
      <c r="C6" s="38">
        <v>19000</v>
      </c>
      <c r="D6" s="38">
        <v>5150</v>
      </c>
      <c r="E6" s="32"/>
      <c r="F6" s="38">
        <v>2000</v>
      </c>
      <c r="G6" s="38">
        <v>1000</v>
      </c>
      <c r="H6" s="38"/>
      <c r="J6" s="38"/>
      <c r="K6" s="48"/>
    </row>
    <row r="7" spans="2:11">
      <c r="B7" s="38">
        <v>2000</v>
      </c>
      <c r="C7" s="38">
        <v>2000</v>
      </c>
      <c r="D7" s="38">
        <v>300</v>
      </c>
      <c r="E7" s="32"/>
      <c r="F7" s="38">
        <v>4500</v>
      </c>
      <c r="G7" s="38">
        <v>2600</v>
      </c>
      <c r="H7" s="38"/>
      <c r="J7" s="58" t="s">
        <v>56</v>
      </c>
      <c r="K7" s="48">
        <v>300</v>
      </c>
    </row>
    <row r="8" spans="2:11">
      <c r="B8" s="38">
        <v>10100</v>
      </c>
      <c r="C8" s="38">
        <v>2000</v>
      </c>
      <c r="D8" s="38">
        <v>6100</v>
      </c>
      <c r="E8" s="32"/>
      <c r="F8" s="38">
        <v>500</v>
      </c>
      <c r="G8" s="38">
        <v>2800</v>
      </c>
      <c r="H8" s="38"/>
      <c r="J8" s="58" t="s">
        <v>57</v>
      </c>
      <c r="K8" s="57" t="s">
        <v>57</v>
      </c>
    </row>
    <row r="9" spans="2:11">
      <c r="B9" s="38">
        <v>1800</v>
      </c>
      <c r="C9" s="38">
        <v>4500</v>
      </c>
      <c r="D9" s="38">
        <v>3900</v>
      </c>
      <c r="E9" s="32"/>
      <c r="F9" s="38">
        <v>2000</v>
      </c>
      <c r="G9" s="38">
        <v>4400</v>
      </c>
      <c r="H9" s="38"/>
      <c r="J9" s="38"/>
      <c r="K9" s="48"/>
    </row>
    <row r="10" spans="2:11">
      <c r="B10" s="38">
        <v>2500</v>
      </c>
      <c r="C10" s="38">
        <v>14700</v>
      </c>
      <c r="D10" s="38">
        <v>4300</v>
      </c>
      <c r="E10" s="32"/>
      <c r="F10" s="38">
        <v>1500</v>
      </c>
      <c r="G10" s="38">
        <v>100</v>
      </c>
      <c r="H10" s="38"/>
      <c r="J10" s="38"/>
      <c r="K10" s="48"/>
    </row>
    <row r="11" spans="2:11">
      <c r="B11" s="38">
        <v>7000</v>
      </c>
      <c r="C11" s="38">
        <v>1000</v>
      </c>
      <c r="D11" s="38">
        <v>3100</v>
      </c>
      <c r="E11" s="32"/>
      <c r="F11" s="38">
        <v>3450</v>
      </c>
      <c r="G11" s="38">
        <v>1400</v>
      </c>
      <c r="H11" s="38"/>
      <c r="J11" s="38"/>
      <c r="K11" s="48"/>
    </row>
    <row r="12" spans="2:11">
      <c r="B12" s="38">
        <v>1000</v>
      </c>
      <c r="C12" s="38">
        <v>5300</v>
      </c>
      <c r="D12" s="38">
        <v>1500</v>
      </c>
      <c r="E12" s="32"/>
      <c r="F12" s="38">
        <v>9400</v>
      </c>
      <c r="G12" s="38">
        <v>500</v>
      </c>
      <c r="H12" s="38"/>
      <c r="J12" s="38"/>
      <c r="K12" s="48"/>
    </row>
    <row r="13" spans="2:11">
      <c r="B13" s="38">
        <v>4100</v>
      </c>
      <c r="C13" s="38">
        <v>4600</v>
      </c>
      <c r="D13" s="38">
        <v>2400</v>
      </c>
      <c r="E13" s="32"/>
      <c r="F13" s="38">
        <v>5600</v>
      </c>
      <c r="G13" s="38">
        <v>4100</v>
      </c>
      <c r="H13" s="38"/>
      <c r="J13" s="38"/>
      <c r="K13" s="48"/>
    </row>
    <row r="14" spans="2:11">
      <c r="B14" s="38">
        <v>10000</v>
      </c>
      <c r="C14" s="38">
        <v>2900</v>
      </c>
      <c r="D14" s="38">
        <v>8600</v>
      </c>
      <c r="E14" s="32"/>
      <c r="F14" s="38">
        <v>4000</v>
      </c>
      <c r="G14" s="38">
        <v>3000</v>
      </c>
      <c r="H14" s="38"/>
      <c r="J14" s="38"/>
      <c r="K14" s="48"/>
    </row>
    <row r="15" spans="2:11">
      <c r="B15" s="38">
        <v>2500</v>
      </c>
      <c r="C15" s="38">
        <v>1100</v>
      </c>
      <c r="D15" s="38">
        <v>3100</v>
      </c>
      <c r="E15" s="32"/>
      <c r="F15" s="38">
        <v>1500</v>
      </c>
      <c r="G15" s="38">
        <v>4400</v>
      </c>
      <c r="H15" s="38"/>
      <c r="J15" s="38"/>
      <c r="K15" s="48"/>
    </row>
    <row r="16" spans="2:11">
      <c r="B16" s="38">
        <v>2900</v>
      </c>
      <c r="C16" s="38">
        <v>2900</v>
      </c>
      <c r="D16" s="38">
        <v>500</v>
      </c>
      <c r="E16" s="32"/>
      <c r="F16" s="38">
        <v>1100</v>
      </c>
      <c r="G16" s="38">
        <v>8000</v>
      </c>
      <c r="H16" s="38"/>
      <c r="J16" s="38"/>
      <c r="K16" s="48"/>
    </row>
    <row r="17" spans="2:13">
      <c r="B17" s="38"/>
      <c r="C17" s="38">
        <v>6400</v>
      </c>
      <c r="D17" s="38">
        <v>4700</v>
      </c>
      <c r="E17" s="32"/>
      <c r="F17" s="38">
        <v>3500</v>
      </c>
      <c r="G17" s="38">
        <v>5500</v>
      </c>
      <c r="H17" s="38"/>
      <c r="J17" s="38"/>
      <c r="K17" s="48"/>
    </row>
    <row r="18" spans="2:13">
      <c r="B18" s="38">
        <v>4000</v>
      </c>
      <c r="C18" s="38">
        <v>4400</v>
      </c>
      <c r="D18" s="38">
        <v>16700</v>
      </c>
      <c r="E18" s="32"/>
      <c r="F18" s="38">
        <v>2600</v>
      </c>
      <c r="G18" s="38">
        <v>5400</v>
      </c>
      <c r="H18" s="38"/>
      <c r="J18" s="38"/>
      <c r="K18" s="48"/>
    </row>
    <row r="19" spans="2:13">
      <c r="B19" s="38">
        <v>5100</v>
      </c>
      <c r="C19" s="38">
        <v>5450</v>
      </c>
      <c r="D19" s="38">
        <v>20400</v>
      </c>
      <c r="E19" s="32"/>
      <c r="F19" s="38">
        <v>12300</v>
      </c>
      <c r="G19" s="38">
        <v>8400</v>
      </c>
      <c r="H19" s="38"/>
      <c r="J19" s="38"/>
      <c r="K19" s="48"/>
    </row>
    <row r="20" spans="2:13">
      <c r="B20" s="38">
        <v>4500</v>
      </c>
      <c r="C20" s="38">
        <v>4000</v>
      </c>
      <c r="D20" s="38">
        <v>3900</v>
      </c>
      <c r="E20" s="32"/>
      <c r="F20" s="38">
        <v>3200</v>
      </c>
      <c r="G20" s="38">
        <v>5200</v>
      </c>
      <c r="H20" s="38"/>
      <c r="J20" s="38"/>
      <c r="K20" s="48"/>
    </row>
    <row r="21" spans="2:13">
      <c r="B21" s="38">
        <v>5550</v>
      </c>
      <c r="C21" s="38">
        <v>1400</v>
      </c>
      <c r="D21" s="38"/>
      <c r="E21" s="32"/>
      <c r="F21" s="38">
        <v>2300</v>
      </c>
      <c r="G21" s="38">
        <v>5000</v>
      </c>
      <c r="H21" s="38"/>
      <c r="J21" s="38"/>
      <c r="K21" s="48"/>
    </row>
    <row r="22" spans="2:13" ht="15.75" thickBot="1">
      <c r="B22" s="38">
        <v>3000</v>
      </c>
      <c r="C22" s="38">
        <v>6500</v>
      </c>
      <c r="D22" s="38"/>
      <c r="E22" s="32"/>
      <c r="F22" s="38">
        <v>1100</v>
      </c>
      <c r="G22" s="38">
        <v>1800</v>
      </c>
      <c r="H22" s="38"/>
      <c r="J22" s="31">
        <f>SUM(J6:J21)</f>
        <v>0</v>
      </c>
      <c r="K22" s="48"/>
    </row>
    <row r="23" spans="2:13" ht="15.75" thickTop="1">
      <c r="B23" s="38">
        <v>4300</v>
      </c>
      <c r="C23" s="38">
        <v>6500</v>
      </c>
      <c r="D23" s="38"/>
      <c r="E23" s="32"/>
      <c r="F23" s="38">
        <v>2800</v>
      </c>
      <c r="G23" s="38">
        <v>4300</v>
      </c>
      <c r="H23" s="38"/>
    </row>
    <row r="24" spans="2:13">
      <c r="B24" s="38">
        <v>3800</v>
      </c>
      <c r="C24" s="38">
        <v>6500</v>
      </c>
      <c r="D24" s="38"/>
      <c r="E24" s="32"/>
      <c r="F24" s="38">
        <v>2100</v>
      </c>
      <c r="G24" s="38">
        <v>5800</v>
      </c>
      <c r="H24" s="38"/>
      <c r="J24" s="25" t="s">
        <v>0</v>
      </c>
      <c r="K24" s="33" t="s">
        <v>21</v>
      </c>
    </row>
    <row r="25" spans="2:13" s="54" customFormat="1" ht="15.75" thickBot="1">
      <c r="B25" s="26">
        <f>SUM(B2:B24)</f>
        <v>92000</v>
      </c>
      <c r="C25" s="26">
        <f>SUM(C2:C24)</f>
        <v>110150</v>
      </c>
      <c r="D25" s="26">
        <f>SUM(D2:D24)</f>
        <v>110600</v>
      </c>
      <c r="E25" s="27"/>
      <c r="F25" s="26">
        <f>SUM(F2:F24)</f>
        <v>90350</v>
      </c>
      <c r="G25" s="26">
        <f>SUM(G2:G24)</f>
        <v>102200</v>
      </c>
      <c r="H25" s="26">
        <f>SUM(H2:H24)</f>
        <v>10900</v>
      </c>
      <c r="I25" s="1">
        <f>+D26+H26</f>
        <v>516200</v>
      </c>
      <c r="J25" s="54">
        <f>24200+1300</f>
        <v>25500</v>
      </c>
      <c r="K25" s="4">
        <v>1100</v>
      </c>
      <c r="L25" s="54">
        <f>SUM(I25:K25)</f>
        <v>542800</v>
      </c>
    </row>
    <row r="26" spans="2:13" ht="16.5" thickTop="1" thickBot="1">
      <c r="C26" s="28" t="s">
        <v>1</v>
      </c>
      <c r="D26" s="29">
        <f>SUM(B25:D25)</f>
        <v>312750</v>
      </c>
      <c r="E26" s="28"/>
      <c r="F26" s="28"/>
      <c r="G26" s="28" t="s">
        <v>17</v>
      </c>
      <c r="H26" s="29">
        <f>SUM(F25:H25)</f>
        <v>203450</v>
      </c>
      <c r="J26" s="3" t="s">
        <v>19</v>
      </c>
      <c r="K26" s="3"/>
      <c r="L26" s="2">
        <v>5000</v>
      </c>
    </row>
    <row r="27" spans="2:13">
      <c r="C27" s="54" t="s">
        <v>18</v>
      </c>
      <c r="D27" s="28">
        <v>312750</v>
      </c>
      <c r="G27" s="54" t="s">
        <v>18</v>
      </c>
      <c r="H27" s="54">
        <v>208450</v>
      </c>
      <c r="L27" s="54">
        <f>SUM(L25:L26)</f>
        <v>547800</v>
      </c>
    </row>
    <row r="28" spans="2:13" ht="15.75" thickBot="1">
      <c r="C28" s="54" t="s">
        <v>5</v>
      </c>
      <c r="D28" s="54">
        <f>+D26-D27</f>
        <v>0</v>
      </c>
      <c r="G28" s="54" t="s">
        <v>5</v>
      </c>
      <c r="H28" s="54">
        <f>+H26-H27</f>
        <v>-5000</v>
      </c>
      <c r="J28" t="s">
        <v>4</v>
      </c>
      <c r="L28" s="2">
        <v>546300</v>
      </c>
    </row>
    <row r="29" spans="2:13">
      <c r="J29" s="3" t="s">
        <v>6</v>
      </c>
      <c r="L29" s="54">
        <f>+L27-L28</f>
        <v>1500</v>
      </c>
      <c r="M29" t="s">
        <v>45</v>
      </c>
    </row>
    <row r="30" spans="2:13">
      <c r="K30" s="3"/>
      <c r="L30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0"/>
  <sheetViews>
    <sheetView topLeftCell="A12" workbookViewId="0">
      <selection activeCell="K25" sqref="K25"/>
    </sheetView>
  </sheetViews>
  <sheetFormatPr defaultRowHeight="15"/>
  <cols>
    <col min="1" max="1" width="2.85546875" customWidth="1"/>
    <col min="2" max="2" width="10.5703125" style="54" bestFit="1" customWidth="1"/>
    <col min="3" max="3" width="9.28515625" style="54" bestFit="1" customWidth="1"/>
    <col min="4" max="4" width="10.28515625" style="54" customWidth="1"/>
    <col min="5" max="5" width="2.28515625" style="54" customWidth="1"/>
    <col min="6" max="7" width="9.28515625" style="54" bestFit="1" customWidth="1"/>
    <col min="8" max="8" width="12.5703125" style="54" customWidth="1"/>
    <col min="9" max="9" width="10.28515625" customWidth="1"/>
    <col min="10" max="10" width="12.42578125" customWidth="1"/>
    <col min="11" max="11" width="9" customWidth="1"/>
    <col min="12" max="12" width="11.5703125" style="54" bestFit="1" customWidth="1"/>
  </cols>
  <sheetData>
    <row r="1" spans="2:11">
      <c r="B1" s="54" t="s">
        <v>1</v>
      </c>
      <c r="F1" s="54" t="s">
        <v>51</v>
      </c>
    </row>
    <row r="2" spans="2:11">
      <c r="B2" s="58">
        <v>2600</v>
      </c>
      <c r="C2" s="58">
        <v>1200</v>
      </c>
      <c r="D2" s="58"/>
      <c r="E2" s="32"/>
      <c r="F2" s="58">
        <v>2000</v>
      </c>
      <c r="G2" s="58">
        <v>5900</v>
      </c>
      <c r="H2" s="58"/>
    </row>
    <row r="3" spans="2:11">
      <c r="B3" s="58">
        <v>1600</v>
      </c>
      <c r="C3" s="58">
        <v>7600</v>
      </c>
      <c r="D3" s="58"/>
      <c r="E3" s="32"/>
      <c r="F3" s="58">
        <v>4700</v>
      </c>
      <c r="G3" s="58">
        <v>900</v>
      </c>
      <c r="H3" s="58"/>
    </row>
    <row r="4" spans="2:11">
      <c r="B4" s="58">
        <v>5800</v>
      </c>
      <c r="C4" s="58">
        <v>2600</v>
      </c>
      <c r="D4" s="58"/>
      <c r="E4" s="32"/>
      <c r="F4" s="58">
        <v>11100</v>
      </c>
      <c r="G4" s="58">
        <v>3700</v>
      </c>
      <c r="H4" s="58"/>
    </row>
    <row r="5" spans="2:11">
      <c r="B5" s="58">
        <v>2900</v>
      </c>
      <c r="C5" s="58">
        <v>12500</v>
      </c>
      <c r="D5" s="58"/>
      <c r="E5" s="32"/>
      <c r="F5" s="58">
        <v>7650</v>
      </c>
      <c r="G5" s="58">
        <v>1700</v>
      </c>
      <c r="H5" s="58"/>
      <c r="J5" t="s">
        <v>2</v>
      </c>
    </row>
    <row r="6" spans="2:11">
      <c r="B6" s="58">
        <v>4000</v>
      </c>
      <c r="C6" s="58">
        <v>4100</v>
      </c>
      <c r="D6" s="58"/>
      <c r="E6" s="32"/>
      <c r="F6" s="58">
        <v>4700</v>
      </c>
      <c r="G6" s="58">
        <v>6000</v>
      </c>
      <c r="H6" s="58"/>
      <c r="J6" s="58">
        <v>300</v>
      </c>
      <c r="K6" s="64" t="s">
        <v>56</v>
      </c>
    </row>
    <row r="7" spans="2:11">
      <c r="B7" s="58">
        <v>3200</v>
      </c>
      <c r="C7" s="58">
        <v>2900</v>
      </c>
      <c r="D7" s="58"/>
      <c r="E7" s="32"/>
      <c r="F7" s="58">
        <v>3000</v>
      </c>
      <c r="G7" s="58">
        <v>1000</v>
      </c>
      <c r="H7" s="58"/>
      <c r="J7" s="58">
        <v>1000</v>
      </c>
      <c r="K7" s="64" t="s">
        <v>64</v>
      </c>
    </row>
    <row r="8" spans="2:11">
      <c r="B8" s="58">
        <v>16000</v>
      </c>
      <c r="C8" s="58">
        <v>5600</v>
      </c>
      <c r="D8" s="58"/>
      <c r="E8" s="32"/>
      <c r="F8" s="58">
        <v>2250</v>
      </c>
      <c r="G8" s="58">
        <v>500</v>
      </c>
      <c r="H8" s="58"/>
      <c r="J8" s="58"/>
      <c r="K8" s="57"/>
    </row>
    <row r="9" spans="2:11">
      <c r="B9" s="58">
        <v>3350</v>
      </c>
      <c r="C9" s="58">
        <v>33600</v>
      </c>
      <c r="D9" s="58"/>
      <c r="E9" s="32"/>
      <c r="F9" s="58">
        <v>3200</v>
      </c>
      <c r="G9" s="58">
        <v>2400</v>
      </c>
      <c r="H9" s="58"/>
      <c r="J9" s="58"/>
      <c r="K9" s="57"/>
    </row>
    <row r="10" spans="2:11">
      <c r="B10" s="58">
        <v>17900</v>
      </c>
      <c r="C10" s="58">
        <v>2300</v>
      </c>
      <c r="D10" s="58"/>
      <c r="E10" s="32"/>
      <c r="F10" s="58">
        <v>6500</v>
      </c>
      <c r="G10" s="58">
        <v>2500</v>
      </c>
      <c r="H10" s="58"/>
      <c r="J10" s="58"/>
      <c r="K10" s="57"/>
    </row>
    <row r="11" spans="2:11">
      <c r="B11" s="58">
        <v>13000</v>
      </c>
      <c r="C11" s="58">
        <v>1500</v>
      </c>
      <c r="D11" s="58"/>
      <c r="E11" s="32"/>
      <c r="F11" s="58">
        <v>3200</v>
      </c>
      <c r="G11" s="58">
        <v>6500</v>
      </c>
      <c r="H11" s="58">
        <v>3400</v>
      </c>
      <c r="J11" s="58"/>
      <c r="K11" s="57"/>
    </row>
    <row r="12" spans="2:11">
      <c r="B12" s="58">
        <v>7900</v>
      </c>
      <c r="C12" s="58">
        <v>2500</v>
      </c>
      <c r="D12" s="58"/>
      <c r="E12" s="32"/>
      <c r="F12" s="58">
        <v>8600</v>
      </c>
      <c r="G12" s="58">
        <v>3400</v>
      </c>
      <c r="H12" s="58">
        <v>7600</v>
      </c>
      <c r="J12" s="58"/>
      <c r="K12" s="57"/>
    </row>
    <row r="13" spans="2:11">
      <c r="B13" s="58">
        <v>8300</v>
      </c>
      <c r="C13" s="58">
        <v>3800</v>
      </c>
      <c r="D13" s="58"/>
      <c r="E13" s="32"/>
      <c r="F13" s="58">
        <v>10200</v>
      </c>
      <c r="G13" s="58">
        <v>5550</v>
      </c>
      <c r="H13" s="58">
        <v>2310</v>
      </c>
      <c r="J13" s="58"/>
      <c r="K13" s="57"/>
    </row>
    <row r="14" spans="2:11">
      <c r="B14" s="58">
        <v>6900</v>
      </c>
      <c r="C14" s="58">
        <v>5600</v>
      </c>
      <c r="D14" s="58"/>
      <c r="E14" s="32"/>
      <c r="F14" s="58">
        <v>5300</v>
      </c>
      <c r="G14" s="58">
        <v>6700</v>
      </c>
      <c r="H14" s="58">
        <v>3300</v>
      </c>
      <c r="J14" s="58"/>
      <c r="K14" s="57"/>
    </row>
    <row r="15" spans="2:11">
      <c r="B15" s="58">
        <v>2000</v>
      </c>
      <c r="C15" s="58">
        <v>2300</v>
      </c>
      <c r="D15" s="58"/>
      <c r="E15" s="32"/>
      <c r="F15" s="58">
        <v>8200</v>
      </c>
      <c r="G15" s="58">
        <v>2500</v>
      </c>
      <c r="H15" s="58"/>
      <c r="J15" s="58"/>
      <c r="K15" s="57"/>
    </row>
    <row r="16" spans="2:11">
      <c r="B16" s="58">
        <v>5900</v>
      </c>
      <c r="C16" s="58">
        <v>3000</v>
      </c>
      <c r="D16" s="58"/>
      <c r="E16" s="32"/>
      <c r="F16" s="58">
        <v>2600</v>
      </c>
      <c r="G16" s="58">
        <v>3200</v>
      </c>
      <c r="H16" s="58"/>
      <c r="J16" s="58"/>
      <c r="K16" s="57"/>
    </row>
    <row r="17" spans="2:13">
      <c r="B17" s="58">
        <v>6600</v>
      </c>
      <c r="C17" s="58">
        <v>1000</v>
      </c>
      <c r="D17" s="58"/>
      <c r="E17" s="32"/>
      <c r="F17" s="58">
        <v>19000</v>
      </c>
      <c r="G17" s="58">
        <v>9200</v>
      </c>
      <c r="H17" s="58"/>
      <c r="J17" s="58"/>
      <c r="K17" s="57"/>
    </row>
    <row r="18" spans="2:13">
      <c r="B18" s="58">
        <v>8400</v>
      </c>
      <c r="C18" s="58">
        <v>5800</v>
      </c>
      <c r="D18" s="58"/>
      <c r="E18" s="32"/>
      <c r="F18" s="58">
        <v>9100</v>
      </c>
      <c r="G18" s="58">
        <v>5600</v>
      </c>
      <c r="H18" s="58"/>
      <c r="J18" s="58"/>
      <c r="K18" s="57"/>
    </row>
    <row r="19" spans="2:13">
      <c r="B19" s="58">
        <v>12300</v>
      </c>
      <c r="C19" s="58"/>
      <c r="D19" s="58"/>
      <c r="E19" s="32"/>
      <c r="F19" s="58">
        <v>11400</v>
      </c>
      <c r="G19" s="58">
        <v>4200</v>
      </c>
      <c r="H19" s="58"/>
      <c r="J19" s="58"/>
      <c r="K19" s="57"/>
    </row>
    <row r="20" spans="2:13">
      <c r="B20" s="58">
        <v>10700</v>
      </c>
      <c r="C20" s="58"/>
      <c r="D20" s="58"/>
      <c r="E20" s="32"/>
      <c r="F20" s="58">
        <v>900</v>
      </c>
      <c r="G20" s="58">
        <v>2000</v>
      </c>
      <c r="H20" s="58">
        <v>121900</v>
      </c>
      <c r="J20" s="58"/>
      <c r="K20" s="57"/>
    </row>
    <row r="21" spans="2:13">
      <c r="B21" s="58">
        <v>9150</v>
      </c>
      <c r="C21" s="58"/>
      <c r="D21" s="58"/>
      <c r="E21" s="32"/>
      <c r="F21" s="58">
        <v>1600</v>
      </c>
      <c r="G21" s="58">
        <v>4300</v>
      </c>
      <c r="H21" s="58"/>
      <c r="J21" s="58"/>
      <c r="K21" s="57"/>
    </row>
    <row r="22" spans="2:13" ht="15.75" thickBot="1">
      <c r="B22" s="58">
        <v>2000</v>
      </c>
      <c r="C22" s="58"/>
      <c r="D22" s="58"/>
      <c r="E22" s="32"/>
      <c r="F22" s="58">
        <v>3300</v>
      </c>
      <c r="G22" s="58"/>
      <c r="H22" s="58"/>
      <c r="J22" s="31">
        <f>SUM(J6:J21)</f>
        <v>1300</v>
      </c>
      <c r="K22" s="57"/>
    </row>
    <row r="23" spans="2:13" ht="15.75" thickTop="1">
      <c r="B23" s="58">
        <v>2350</v>
      </c>
      <c r="C23" s="58"/>
      <c r="D23" s="58"/>
      <c r="E23" s="32"/>
      <c r="F23" s="58">
        <v>2600</v>
      </c>
      <c r="G23" s="58"/>
      <c r="H23" s="58"/>
    </row>
    <row r="24" spans="2:13">
      <c r="B24" s="58">
        <v>4300</v>
      </c>
      <c r="C24" s="58"/>
      <c r="D24" s="58"/>
      <c r="E24" s="32"/>
      <c r="F24" s="58">
        <v>3800</v>
      </c>
      <c r="G24" s="58"/>
      <c r="H24" s="58"/>
      <c r="J24" s="25" t="s">
        <v>0</v>
      </c>
      <c r="K24" s="33" t="s">
        <v>21</v>
      </c>
    </row>
    <row r="25" spans="2:13" s="54" customFormat="1" ht="15.75" thickBot="1">
      <c r="B25" s="26">
        <f>SUM(B2:B24)</f>
        <v>157150</v>
      </c>
      <c r="C25" s="26">
        <f>SUM(C2:C24)</f>
        <v>97900</v>
      </c>
      <c r="D25" s="26">
        <f>SUM(D2:D24)</f>
        <v>0</v>
      </c>
      <c r="E25" s="27"/>
      <c r="F25" s="26">
        <f>SUM(F2:F24)</f>
        <v>134900</v>
      </c>
      <c r="G25" s="26">
        <f>SUM(G2:G24)</f>
        <v>77750</v>
      </c>
      <c r="H25" s="26">
        <f>SUM(H2:H24)</f>
        <v>138510</v>
      </c>
      <c r="I25" s="1">
        <f>+D26+H26</f>
        <v>606210</v>
      </c>
      <c r="J25" s="54">
        <f>63500+6000</f>
        <v>69500</v>
      </c>
      <c r="K25" s="4">
        <f>8000+8400-6000</f>
        <v>10400</v>
      </c>
      <c r="L25" s="54">
        <f>SUM(I25:K25)</f>
        <v>686110</v>
      </c>
    </row>
    <row r="26" spans="2:13" ht="16.5" thickTop="1" thickBot="1">
      <c r="C26" s="28" t="s">
        <v>1</v>
      </c>
      <c r="D26" s="29">
        <f>SUM(B25:D25)</f>
        <v>255050</v>
      </c>
      <c r="E26" s="28"/>
      <c r="F26" s="28"/>
      <c r="G26" s="28" t="s">
        <v>17</v>
      </c>
      <c r="H26" s="29">
        <f>SUM(F25:H25)</f>
        <v>351160</v>
      </c>
      <c r="J26" s="3" t="s">
        <v>19</v>
      </c>
      <c r="K26" s="3" t="s">
        <v>73</v>
      </c>
      <c r="L26" s="2">
        <v>34410</v>
      </c>
    </row>
    <row r="27" spans="2:13">
      <c r="C27" s="54" t="s">
        <v>18</v>
      </c>
      <c r="D27" s="28">
        <f>333450-70000</f>
        <v>263450</v>
      </c>
      <c r="G27" s="54" t="s">
        <v>18</v>
      </c>
      <c r="H27" s="54">
        <f>238660+121900+16610</f>
        <v>377170</v>
      </c>
      <c r="L27" s="54">
        <f>SUM(L25:L26)</f>
        <v>720520</v>
      </c>
    </row>
    <row r="28" spans="2:13" ht="15.75" thickBot="1">
      <c r="C28" s="54" t="s">
        <v>5</v>
      </c>
      <c r="D28" s="54">
        <f>+D26-D27</f>
        <v>-8400</v>
      </c>
      <c r="G28" s="54" t="s">
        <v>5</v>
      </c>
      <c r="H28" s="54">
        <f>+H26-H27</f>
        <v>-26010</v>
      </c>
      <c r="J28" t="s">
        <v>4</v>
      </c>
      <c r="L28" s="2">
        <v>720250</v>
      </c>
    </row>
    <row r="29" spans="2:13">
      <c r="J29" s="3" t="s">
        <v>6</v>
      </c>
      <c r="L29" s="54">
        <f>+L27-L28</f>
        <v>270</v>
      </c>
      <c r="M29" t="s">
        <v>65</v>
      </c>
    </row>
    <row r="30" spans="2:13">
      <c r="K30" s="3"/>
      <c r="L30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0"/>
  <sheetViews>
    <sheetView topLeftCell="A14" workbookViewId="0">
      <selection activeCell="J25" sqref="J25"/>
    </sheetView>
  </sheetViews>
  <sheetFormatPr defaultRowHeight="15"/>
  <cols>
    <col min="1" max="1" width="2.85546875" customWidth="1"/>
    <col min="2" max="2" width="10.5703125" style="54" bestFit="1" customWidth="1"/>
    <col min="3" max="3" width="9.28515625" style="54" bestFit="1" customWidth="1"/>
    <col min="4" max="4" width="10.28515625" style="54" customWidth="1"/>
    <col min="5" max="5" width="2.28515625" style="54" customWidth="1"/>
    <col min="6" max="7" width="9.28515625" style="54" bestFit="1" customWidth="1"/>
    <col min="8" max="8" width="12.5703125" style="54" customWidth="1"/>
    <col min="9" max="9" width="10.28515625" customWidth="1"/>
    <col min="10" max="10" width="12.42578125" customWidth="1"/>
    <col min="11" max="11" width="9" customWidth="1"/>
    <col min="12" max="12" width="11.5703125" style="54" bestFit="1" customWidth="1"/>
  </cols>
  <sheetData>
    <row r="1" spans="2:11">
      <c r="B1" s="65" t="s">
        <v>76</v>
      </c>
      <c r="F1" s="65" t="s">
        <v>1</v>
      </c>
    </row>
    <row r="2" spans="2:11">
      <c r="B2" s="58">
        <v>5000</v>
      </c>
      <c r="C2" s="58">
        <v>10000</v>
      </c>
      <c r="D2" s="58">
        <v>6900</v>
      </c>
      <c r="E2" s="32"/>
      <c r="F2" s="58">
        <v>2050</v>
      </c>
      <c r="G2" s="58">
        <v>4000</v>
      </c>
      <c r="H2" s="58"/>
    </row>
    <row r="3" spans="2:11">
      <c r="B3" s="58">
        <v>1600</v>
      </c>
      <c r="C3" s="58">
        <v>5100</v>
      </c>
      <c r="D3" s="58">
        <v>10800</v>
      </c>
      <c r="E3" s="32"/>
      <c r="F3" s="58">
        <v>4600</v>
      </c>
      <c r="G3" s="58">
        <v>7200</v>
      </c>
      <c r="H3" s="58"/>
    </row>
    <row r="4" spans="2:11">
      <c r="B4" s="58">
        <v>2800</v>
      </c>
      <c r="C4" s="58">
        <v>4700</v>
      </c>
      <c r="D4" s="58">
        <v>1500</v>
      </c>
      <c r="E4" s="32"/>
      <c r="F4" s="58">
        <v>1500</v>
      </c>
      <c r="G4" s="58">
        <v>2000</v>
      </c>
      <c r="H4" s="58"/>
    </row>
    <row r="5" spans="2:11">
      <c r="B5" s="58">
        <v>19600</v>
      </c>
      <c r="C5" s="58">
        <v>900</v>
      </c>
      <c r="D5" s="58">
        <v>1600</v>
      </c>
      <c r="E5" s="32"/>
      <c r="F5" s="58">
        <v>4200</v>
      </c>
      <c r="G5" s="58">
        <v>3400</v>
      </c>
      <c r="H5" s="58"/>
      <c r="J5" t="s">
        <v>2</v>
      </c>
    </row>
    <row r="6" spans="2:11">
      <c r="B6" s="58">
        <v>6900</v>
      </c>
      <c r="C6" s="58">
        <v>4500</v>
      </c>
      <c r="D6" s="58">
        <v>6200</v>
      </c>
      <c r="E6" s="32"/>
      <c r="F6" s="58">
        <v>1500</v>
      </c>
      <c r="G6" s="58">
        <v>3300</v>
      </c>
      <c r="H6" s="58"/>
      <c r="J6" s="58"/>
      <c r="K6" s="64"/>
    </row>
    <row r="7" spans="2:11">
      <c r="B7" s="58">
        <v>7600</v>
      </c>
      <c r="C7" s="58">
        <v>1000</v>
      </c>
      <c r="D7" s="58">
        <v>1500</v>
      </c>
      <c r="E7" s="32"/>
      <c r="F7" s="58">
        <v>2100</v>
      </c>
      <c r="G7" s="58">
        <v>3850</v>
      </c>
      <c r="H7" s="58"/>
      <c r="J7" s="58">
        <v>4000</v>
      </c>
      <c r="K7" s="66" t="s">
        <v>77</v>
      </c>
    </row>
    <row r="8" spans="2:11">
      <c r="B8" s="58">
        <v>1500</v>
      </c>
      <c r="C8" s="58">
        <v>3800</v>
      </c>
      <c r="D8" s="58">
        <v>700</v>
      </c>
      <c r="E8" s="32"/>
      <c r="F8" s="58">
        <v>4250</v>
      </c>
      <c r="G8" s="58">
        <v>4200</v>
      </c>
      <c r="H8" s="58"/>
      <c r="J8" s="58"/>
      <c r="K8" s="64"/>
    </row>
    <row r="9" spans="2:11">
      <c r="B9" s="58">
        <v>2200</v>
      </c>
      <c r="C9" s="58">
        <v>1450</v>
      </c>
      <c r="D9" s="58">
        <v>8300</v>
      </c>
      <c r="E9" s="32"/>
      <c r="F9" s="58">
        <v>1500</v>
      </c>
      <c r="G9" s="58">
        <v>8200</v>
      </c>
      <c r="H9" s="58"/>
      <c r="J9" s="58"/>
      <c r="K9" s="64"/>
    </row>
    <row r="10" spans="2:11">
      <c r="B10" s="58">
        <v>5600</v>
      </c>
      <c r="C10" s="58">
        <v>4400</v>
      </c>
      <c r="D10" s="58">
        <v>2250</v>
      </c>
      <c r="E10" s="32"/>
      <c r="F10" s="58">
        <v>8300</v>
      </c>
      <c r="G10" s="58">
        <v>2000</v>
      </c>
      <c r="H10" s="58"/>
      <c r="J10" s="58"/>
      <c r="K10" s="64"/>
    </row>
    <row r="11" spans="2:11">
      <c r="B11" s="58">
        <v>2500</v>
      </c>
      <c r="C11" s="58">
        <v>19100</v>
      </c>
      <c r="D11" s="58">
        <v>9900</v>
      </c>
      <c r="E11" s="32"/>
      <c r="F11" s="58">
        <v>6200</v>
      </c>
      <c r="G11" s="58">
        <v>3400</v>
      </c>
      <c r="H11" s="58"/>
      <c r="J11" s="58"/>
      <c r="K11" s="64"/>
    </row>
    <row r="12" spans="2:11">
      <c r="B12" s="58">
        <v>1000</v>
      </c>
      <c r="C12" s="58">
        <v>4100</v>
      </c>
      <c r="D12" s="58">
        <v>6600</v>
      </c>
      <c r="E12" s="32"/>
      <c r="F12" s="58">
        <v>2100</v>
      </c>
      <c r="G12" s="58">
        <v>750</v>
      </c>
      <c r="H12" s="58"/>
      <c r="J12" s="58"/>
      <c r="K12" s="64"/>
    </row>
    <row r="13" spans="2:11">
      <c r="B13" s="58">
        <v>1400</v>
      </c>
      <c r="C13" s="58">
        <v>2900</v>
      </c>
      <c r="D13" s="58">
        <v>6600</v>
      </c>
      <c r="E13" s="32"/>
      <c r="F13" s="58">
        <v>5500</v>
      </c>
      <c r="G13" s="58">
        <v>5600</v>
      </c>
      <c r="H13" s="58"/>
      <c r="J13" s="58"/>
      <c r="K13" s="64"/>
    </row>
    <row r="14" spans="2:11">
      <c r="B14" s="58">
        <v>13150</v>
      </c>
      <c r="C14" s="58">
        <v>2200</v>
      </c>
      <c r="D14" s="58">
        <v>3300</v>
      </c>
      <c r="E14" s="32"/>
      <c r="F14" s="58">
        <v>5550</v>
      </c>
      <c r="G14" s="58">
        <v>5000</v>
      </c>
      <c r="H14" s="58"/>
      <c r="J14" s="58"/>
      <c r="K14" s="64"/>
    </row>
    <row r="15" spans="2:11">
      <c r="B15" s="58">
        <v>4300</v>
      </c>
      <c r="C15" s="58">
        <v>2550</v>
      </c>
      <c r="D15" s="58">
        <v>1000</v>
      </c>
      <c r="E15" s="32"/>
      <c r="F15" s="58">
        <v>2200</v>
      </c>
      <c r="G15" s="58">
        <v>1000</v>
      </c>
      <c r="H15" s="58"/>
      <c r="J15" s="58"/>
      <c r="K15" s="64"/>
    </row>
    <row r="16" spans="2:11">
      <c r="B16" s="58">
        <v>1350</v>
      </c>
      <c r="C16" s="58">
        <v>3700</v>
      </c>
      <c r="D16" s="58">
        <v>8700</v>
      </c>
      <c r="E16" s="32"/>
      <c r="F16" s="58">
        <v>2500</v>
      </c>
      <c r="G16" s="58">
        <v>6850</v>
      </c>
      <c r="H16" s="58"/>
      <c r="J16" s="58"/>
      <c r="K16" s="64"/>
    </row>
    <row r="17" spans="2:13">
      <c r="B17" s="58">
        <v>9500</v>
      </c>
      <c r="C17" s="58">
        <v>500</v>
      </c>
      <c r="D17" s="58">
        <v>2000</v>
      </c>
      <c r="E17" s="32"/>
      <c r="F17" s="58">
        <v>4100</v>
      </c>
      <c r="G17" s="58">
        <v>6700</v>
      </c>
      <c r="H17" s="58"/>
      <c r="J17" s="58"/>
      <c r="K17" s="64"/>
    </row>
    <row r="18" spans="2:13">
      <c r="B18" s="58">
        <v>12300</v>
      </c>
      <c r="C18" s="58">
        <v>3700</v>
      </c>
      <c r="D18" s="58"/>
      <c r="E18" s="32"/>
      <c r="F18" s="58">
        <v>4000</v>
      </c>
      <c r="G18" s="58">
        <v>1400</v>
      </c>
      <c r="H18" s="58"/>
      <c r="J18" s="58"/>
      <c r="K18" s="64"/>
    </row>
    <row r="19" spans="2:13">
      <c r="B19" s="58">
        <v>4500</v>
      </c>
      <c r="C19" s="58">
        <v>10750</v>
      </c>
      <c r="D19" s="58"/>
      <c r="E19" s="32"/>
      <c r="F19" s="58">
        <v>1800</v>
      </c>
      <c r="G19" s="58">
        <v>600</v>
      </c>
      <c r="H19" s="58"/>
      <c r="J19" s="58"/>
      <c r="K19" s="64"/>
    </row>
    <row r="20" spans="2:13">
      <c r="B20" s="58">
        <v>5500</v>
      </c>
      <c r="C20" s="58">
        <v>3700</v>
      </c>
      <c r="D20" s="58"/>
      <c r="E20" s="32"/>
      <c r="F20" s="58">
        <v>9900</v>
      </c>
      <c r="G20" s="58">
        <v>11400</v>
      </c>
      <c r="H20" s="58"/>
      <c r="J20" s="58"/>
      <c r="K20" s="64"/>
    </row>
    <row r="21" spans="2:13">
      <c r="B21" s="58">
        <v>2100</v>
      </c>
      <c r="C21" s="58">
        <v>3300</v>
      </c>
      <c r="D21" s="58"/>
      <c r="E21" s="32"/>
      <c r="F21" s="58">
        <v>4600</v>
      </c>
      <c r="G21" s="58">
        <v>3100</v>
      </c>
      <c r="H21" s="58"/>
      <c r="J21" s="58"/>
      <c r="K21" s="64"/>
    </row>
    <row r="22" spans="2:13" ht="15.75" thickBot="1">
      <c r="B22" s="58">
        <v>1600</v>
      </c>
      <c r="C22" s="58">
        <v>5450</v>
      </c>
      <c r="D22" s="58"/>
      <c r="E22" s="32"/>
      <c r="F22" s="58">
        <v>2000</v>
      </c>
      <c r="G22" s="58">
        <v>7200</v>
      </c>
      <c r="H22" s="58"/>
      <c r="J22" s="31">
        <f>SUM(J6:J21)</f>
        <v>4000</v>
      </c>
      <c r="K22" s="64"/>
    </row>
    <row r="23" spans="2:13" ht="15.75" thickTop="1">
      <c r="B23" s="58">
        <v>4100</v>
      </c>
      <c r="C23" s="58">
        <v>12200</v>
      </c>
      <c r="D23" s="58"/>
      <c r="E23" s="32"/>
      <c r="F23" s="58">
        <v>2500</v>
      </c>
      <c r="G23" s="58">
        <v>9800</v>
      </c>
      <c r="H23" s="58"/>
    </row>
    <row r="24" spans="2:13">
      <c r="B24" s="58">
        <v>4700</v>
      </c>
      <c r="C24" s="58">
        <v>3000</v>
      </c>
      <c r="D24" s="58"/>
      <c r="E24" s="32"/>
      <c r="F24" s="58">
        <v>2000</v>
      </c>
      <c r="G24" s="58"/>
      <c r="H24" s="58"/>
      <c r="J24" s="25" t="s">
        <v>0</v>
      </c>
      <c r="K24" s="33" t="s">
        <v>21</v>
      </c>
    </row>
    <row r="25" spans="2:13" s="54" customFormat="1" ht="15.75" thickBot="1">
      <c r="B25" s="26">
        <f>SUM(B2:B24)</f>
        <v>120800</v>
      </c>
      <c r="C25" s="26">
        <f>SUM(C2:C24)</f>
        <v>113000</v>
      </c>
      <c r="D25" s="26">
        <f>SUM(D2:D24)</f>
        <v>77850</v>
      </c>
      <c r="E25" s="27"/>
      <c r="F25" s="26">
        <f>SUM(F2:F24)</f>
        <v>84950</v>
      </c>
      <c r="G25" s="26">
        <f>SUM(G2:G24)</f>
        <v>100950</v>
      </c>
      <c r="H25" s="26">
        <f>SUM(H2:H24)</f>
        <v>0</v>
      </c>
      <c r="I25" s="1">
        <f>+D26+H26</f>
        <v>497550</v>
      </c>
      <c r="J25" s="54">
        <f>46000+4000</f>
        <v>50000</v>
      </c>
      <c r="K25" s="4">
        <v>-6400</v>
      </c>
      <c r="L25" s="54">
        <f>SUM(I25:K25)</f>
        <v>541150</v>
      </c>
    </row>
    <row r="26" spans="2:13" ht="16.5" thickTop="1" thickBot="1">
      <c r="C26" s="28" t="s">
        <v>1</v>
      </c>
      <c r="D26" s="29">
        <f>SUM(B25:D25)</f>
        <v>311650</v>
      </c>
      <c r="E26" s="28"/>
      <c r="F26" s="28"/>
      <c r="G26" s="28" t="s">
        <v>17</v>
      </c>
      <c r="H26" s="29">
        <f>SUM(F25:H25)</f>
        <v>185900</v>
      </c>
      <c r="J26" s="3" t="s">
        <v>19</v>
      </c>
      <c r="K26" s="3" t="s">
        <v>73</v>
      </c>
      <c r="L26" s="2"/>
    </row>
    <row r="27" spans="2:13">
      <c r="C27" s="54" t="s">
        <v>18</v>
      </c>
      <c r="D27" s="28">
        <v>306550</v>
      </c>
      <c r="G27" s="54" t="s">
        <v>18</v>
      </c>
      <c r="H27" s="54">
        <v>345300</v>
      </c>
      <c r="L27" s="54">
        <f>SUM(L25:L26)</f>
        <v>541150</v>
      </c>
    </row>
    <row r="28" spans="2:13" ht="15.75" thickBot="1">
      <c r="C28" s="54" t="s">
        <v>5</v>
      </c>
      <c r="D28" s="54">
        <f>+D26-D27</f>
        <v>5100</v>
      </c>
      <c r="G28" s="54" t="s">
        <v>5</v>
      </c>
      <c r="H28" s="54">
        <f>+H26-H27</f>
        <v>-159400</v>
      </c>
      <c r="J28" t="s">
        <v>4</v>
      </c>
      <c r="L28" s="2">
        <v>541150</v>
      </c>
    </row>
    <row r="29" spans="2:13">
      <c r="J29" s="3" t="s">
        <v>6</v>
      </c>
      <c r="L29" s="54">
        <f>+L27-L28</f>
        <v>0</v>
      </c>
      <c r="M29" t="s">
        <v>45</v>
      </c>
    </row>
    <row r="30" spans="2:13">
      <c r="K30" s="3"/>
      <c r="L30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0"/>
  <sheetViews>
    <sheetView topLeftCell="A12" workbookViewId="0">
      <selection activeCell="J25" activeCellId="2" sqref="I25 L26 J25"/>
    </sheetView>
  </sheetViews>
  <sheetFormatPr defaultRowHeight="15"/>
  <cols>
    <col min="1" max="1" width="2.85546875" customWidth="1"/>
    <col min="2" max="2" width="10.5703125" style="54" bestFit="1" customWidth="1"/>
    <col min="3" max="3" width="9.28515625" style="54" bestFit="1" customWidth="1"/>
    <col min="4" max="4" width="10.28515625" style="54" customWidth="1"/>
    <col min="5" max="5" width="2.28515625" style="54" customWidth="1"/>
    <col min="6" max="7" width="9.28515625" style="54" bestFit="1" customWidth="1"/>
    <col min="8" max="8" width="12.5703125" style="54" customWidth="1"/>
    <col min="9" max="9" width="10.28515625" customWidth="1"/>
    <col min="10" max="10" width="12.42578125" customWidth="1"/>
    <col min="11" max="11" width="9" customWidth="1"/>
    <col min="12" max="12" width="11.5703125" style="54" bestFit="1" customWidth="1"/>
  </cols>
  <sheetData>
    <row r="1" spans="2:11">
      <c r="B1" s="54" t="s">
        <v>1</v>
      </c>
      <c r="F1" s="54" t="s">
        <v>51</v>
      </c>
    </row>
    <row r="2" spans="2:11">
      <c r="B2" s="58">
        <v>1700</v>
      </c>
      <c r="C2" s="58">
        <v>10500</v>
      </c>
      <c r="D2" s="58">
        <v>4000</v>
      </c>
      <c r="E2" s="32"/>
      <c r="F2" s="58">
        <v>1600</v>
      </c>
      <c r="G2" s="58">
        <v>5200</v>
      </c>
      <c r="H2" s="58">
        <v>8300</v>
      </c>
    </row>
    <row r="3" spans="2:11">
      <c r="B3" s="58">
        <v>3100</v>
      </c>
      <c r="C3" s="58">
        <v>2500</v>
      </c>
      <c r="D3" s="58">
        <v>4000</v>
      </c>
      <c r="E3" s="32"/>
      <c r="F3" s="58">
        <v>2000</v>
      </c>
      <c r="G3" s="58">
        <v>3000</v>
      </c>
      <c r="H3" s="58">
        <v>3400</v>
      </c>
    </row>
    <row r="4" spans="2:11">
      <c r="B4" s="58">
        <v>15500</v>
      </c>
      <c r="C4" s="58">
        <v>1600</v>
      </c>
      <c r="D4" s="58">
        <v>2000</v>
      </c>
      <c r="E4" s="32"/>
      <c r="F4" s="58">
        <v>3400</v>
      </c>
      <c r="G4" s="58">
        <v>6100</v>
      </c>
      <c r="H4" s="58">
        <v>3500</v>
      </c>
    </row>
    <row r="5" spans="2:11">
      <c r="B5" s="58">
        <v>3300</v>
      </c>
      <c r="C5" s="58">
        <v>2000</v>
      </c>
      <c r="D5" s="58">
        <v>6000</v>
      </c>
      <c r="E5" s="32"/>
      <c r="F5" s="58">
        <v>500</v>
      </c>
      <c r="G5" s="58">
        <v>2500</v>
      </c>
      <c r="H5" s="58">
        <v>16100</v>
      </c>
      <c r="J5" t="s">
        <v>2</v>
      </c>
    </row>
    <row r="6" spans="2:11">
      <c r="B6" s="58">
        <v>6300</v>
      </c>
      <c r="C6" s="58">
        <v>700</v>
      </c>
      <c r="D6" s="58">
        <v>5100</v>
      </c>
      <c r="E6" s="32"/>
      <c r="F6" s="58">
        <v>8100</v>
      </c>
      <c r="G6" s="58">
        <v>7000</v>
      </c>
      <c r="H6" s="58">
        <v>3200</v>
      </c>
      <c r="J6" s="58">
        <v>800</v>
      </c>
      <c r="K6" s="67" t="s">
        <v>79</v>
      </c>
    </row>
    <row r="7" spans="2:11">
      <c r="B7" s="58">
        <v>14600</v>
      </c>
      <c r="C7" s="58">
        <v>2400</v>
      </c>
      <c r="D7" s="58">
        <v>2800</v>
      </c>
      <c r="E7" s="32"/>
      <c r="F7" s="58">
        <v>4500</v>
      </c>
      <c r="G7" s="58">
        <v>1000</v>
      </c>
      <c r="H7" s="58">
        <v>13200</v>
      </c>
      <c r="J7" s="58">
        <v>5000</v>
      </c>
      <c r="K7" s="67" t="s">
        <v>80</v>
      </c>
    </row>
    <row r="8" spans="2:11">
      <c r="B8" s="58">
        <v>2000</v>
      </c>
      <c r="C8" s="58">
        <v>5000</v>
      </c>
      <c r="D8" s="58">
        <v>3700</v>
      </c>
      <c r="E8" s="32"/>
      <c r="F8" s="58">
        <v>3900</v>
      </c>
      <c r="G8" s="58">
        <v>2200</v>
      </c>
      <c r="H8" s="58">
        <v>4400</v>
      </c>
      <c r="J8" s="58">
        <v>3000</v>
      </c>
      <c r="K8" s="67" t="s">
        <v>78</v>
      </c>
    </row>
    <row r="9" spans="2:11">
      <c r="B9" s="58">
        <v>2800</v>
      </c>
      <c r="C9" s="58">
        <v>6100</v>
      </c>
      <c r="D9" s="58">
        <v>2800</v>
      </c>
      <c r="E9" s="32"/>
      <c r="F9" s="58">
        <v>1500</v>
      </c>
      <c r="G9" s="58">
        <v>3000</v>
      </c>
      <c r="H9" s="58">
        <v>2200</v>
      </c>
      <c r="J9" s="58"/>
      <c r="K9" s="64"/>
    </row>
    <row r="10" spans="2:11">
      <c r="B10" s="58">
        <v>6500</v>
      </c>
      <c r="C10" s="58">
        <v>2000</v>
      </c>
      <c r="D10" s="58">
        <v>2600</v>
      </c>
      <c r="E10" s="32"/>
      <c r="F10" s="58">
        <v>2400</v>
      </c>
      <c r="G10" s="58">
        <v>5700</v>
      </c>
      <c r="H10" s="58">
        <v>5300</v>
      </c>
      <c r="J10" s="58"/>
      <c r="K10" s="64"/>
    </row>
    <row r="11" spans="2:11">
      <c r="B11" s="58">
        <v>3000</v>
      </c>
      <c r="C11" s="58">
        <v>1100</v>
      </c>
      <c r="D11" s="58">
        <v>8000</v>
      </c>
      <c r="E11" s="32"/>
      <c r="F11" s="58">
        <v>7000</v>
      </c>
      <c r="G11" s="58">
        <v>3300</v>
      </c>
      <c r="H11" s="58">
        <v>6500</v>
      </c>
      <c r="J11" s="58"/>
      <c r="K11" s="64"/>
    </row>
    <row r="12" spans="2:11">
      <c r="B12" s="58">
        <v>700</v>
      </c>
      <c r="C12" s="58">
        <v>1500</v>
      </c>
      <c r="D12" s="58">
        <v>6900</v>
      </c>
      <c r="E12" s="32"/>
      <c r="F12" s="58">
        <v>3350</v>
      </c>
      <c r="G12" s="58">
        <v>6000</v>
      </c>
      <c r="H12" s="58">
        <v>2500</v>
      </c>
      <c r="J12" s="58"/>
      <c r="K12" s="64"/>
    </row>
    <row r="13" spans="2:11">
      <c r="B13" s="58">
        <v>1000</v>
      </c>
      <c r="C13" s="58">
        <v>2200</v>
      </c>
      <c r="D13" s="58">
        <v>3900</v>
      </c>
      <c r="E13" s="32"/>
      <c r="F13" s="58">
        <v>9500</v>
      </c>
      <c r="G13" s="58">
        <v>750</v>
      </c>
      <c r="H13" s="58"/>
      <c r="J13" s="58"/>
      <c r="K13" s="64"/>
    </row>
    <row r="14" spans="2:11">
      <c r="B14" s="58">
        <v>3300</v>
      </c>
      <c r="C14" s="58">
        <v>2200</v>
      </c>
      <c r="D14" s="58">
        <v>3000</v>
      </c>
      <c r="E14" s="32"/>
      <c r="F14" s="58">
        <v>1900</v>
      </c>
      <c r="G14" s="58">
        <v>20200</v>
      </c>
      <c r="H14" s="58"/>
      <c r="J14" s="58"/>
      <c r="K14" s="64"/>
    </row>
    <row r="15" spans="2:11">
      <c r="B15" s="58">
        <v>4200</v>
      </c>
      <c r="C15" s="58">
        <v>5500</v>
      </c>
      <c r="D15" s="58">
        <v>9800</v>
      </c>
      <c r="E15" s="32"/>
      <c r="F15" s="58">
        <v>2200</v>
      </c>
      <c r="G15" s="58">
        <v>9100</v>
      </c>
      <c r="H15" s="58"/>
      <c r="J15" s="58"/>
      <c r="K15" s="64"/>
    </row>
    <row r="16" spans="2:11">
      <c r="B16" s="58">
        <v>6000</v>
      </c>
      <c r="C16" s="58">
        <v>1000</v>
      </c>
      <c r="D16" s="58">
        <v>3000</v>
      </c>
      <c r="E16" s="32"/>
      <c r="F16" s="58">
        <v>7850</v>
      </c>
      <c r="G16" s="58">
        <v>6900</v>
      </c>
      <c r="H16" s="58"/>
      <c r="J16" s="58"/>
      <c r="K16" s="64"/>
    </row>
    <row r="17" spans="2:13">
      <c r="B17" s="58">
        <v>2500</v>
      </c>
      <c r="C17" s="58">
        <v>2400</v>
      </c>
      <c r="D17" s="58">
        <v>8700</v>
      </c>
      <c r="E17" s="32"/>
      <c r="F17" s="58">
        <v>2500</v>
      </c>
      <c r="G17" s="58">
        <v>2200</v>
      </c>
      <c r="H17" s="58"/>
      <c r="J17" s="58"/>
      <c r="K17" s="64"/>
    </row>
    <row r="18" spans="2:13">
      <c r="B18" s="58">
        <v>6600</v>
      </c>
      <c r="C18" s="58">
        <v>11400</v>
      </c>
      <c r="D18" s="58">
        <v>6000</v>
      </c>
      <c r="E18" s="32"/>
      <c r="F18" s="58">
        <v>1500</v>
      </c>
      <c r="G18" s="58">
        <v>14500</v>
      </c>
      <c r="H18" s="58"/>
      <c r="J18" s="58"/>
      <c r="K18" s="64"/>
    </row>
    <row r="19" spans="2:13">
      <c r="B19" s="58">
        <v>10500</v>
      </c>
      <c r="C19" s="58">
        <v>700</v>
      </c>
      <c r="D19" s="58"/>
      <c r="E19" s="32"/>
      <c r="F19" s="58">
        <v>1350</v>
      </c>
      <c r="G19" s="58">
        <v>3400</v>
      </c>
      <c r="H19" s="58"/>
      <c r="J19" s="58"/>
      <c r="K19" s="64"/>
    </row>
    <row r="20" spans="2:13">
      <c r="B20" s="58">
        <v>1500</v>
      </c>
      <c r="C20" s="58">
        <v>5900</v>
      </c>
      <c r="D20" s="58"/>
      <c r="E20" s="32"/>
      <c r="F20" s="58">
        <v>8000</v>
      </c>
      <c r="G20" s="58">
        <v>5600</v>
      </c>
      <c r="H20" s="58"/>
      <c r="J20" s="58"/>
      <c r="K20" s="64"/>
    </row>
    <row r="21" spans="2:13">
      <c r="B21" s="58">
        <v>1500</v>
      </c>
      <c r="C21" s="58">
        <v>5700</v>
      </c>
      <c r="D21" s="58"/>
      <c r="E21" s="32"/>
      <c r="F21" s="58">
        <v>15000</v>
      </c>
      <c r="G21" s="58">
        <v>3650</v>
      </c>
      <c r="H21" s="58"/>
      <c r="J21" s="58"/>
      <c r="K21" s="64"/>
    </row>
    <row r="22" spans="2:13" ht="15.75" thickBot="1">
      <c r="B22" s="58">
        <v>4600</v>
      </c>
      <c r="C22" s="58">
        <v>6500</v>
      </c>
      <c r="D22" s="58"/>
      <c r="E22" s="32"/>
      <c r="F22" s="58">
        <v>2500</v>
      </c>
      <c r="G22" s="58">
        <v>5150</v>
      </c>
      <c r="H22" s="58"/>
      <c r="J22" s="31">
        <f>SUM(J6:J21)</f>
        <v>8800</v>
      </c>
      <c r="K22" s="64"/>
    </row>
    <row r="23" spans="2:13" ht="15.75" thickTop="1">
      <c r="B23" s="58">
        <v>1500</v>
      </c>
      <c r="C23" s="58">
        <v>4150</v>
      </c>
      <c r="D23" s="58"/>
      <c r="E23" s="32"/>
      <c r="F23" s="58">
        <v>7100</v>
      </c>
      <c r="G23" s="58">
        <v>7900</v>
      </c>
      <c r="H23" s="58"/>
    </row>
    <row r="24" spans="2:13">
      <c r="B24" s="58">
        <v>2900</v>
      </c>
      <c r="C24" s="58">
        <v>4700</v>
      </c>
      <c r="D24" s="58"/>
      <c r="E24" s="32"/>
      <c r="F24" s="58">
        <v>3600</v>
      </c>
      <c r="G24" s="58">
        <v>10500</v>
      </c>
      <c r="H24" s="58"/>
      <c r="J24" s="25" t="s">
        <v>0</v>
      </c>
      <c r="K24" s="33" t="s">
        <v>21</v>
      </c>
    </row>
    <row r="25" spans="2:13" s="54" customFormat="1" ht="15.75" thickBot="1">
      <c r="B25" s="26">
        <f>SUM(B2:B24)</f>
        <v>105600</v>
      </c>
      <c r="C25" s="26">
        <f>SUM(C2:C24)</f>
        <v>87750</v>
      </c>
      <c r="D25" s="26">
        <f>SUM(D2:D24)</f>
        <v>82300</v>
      </c>
      <c r="E25" s="27"/>
      <c r="F25" s="26">
        <f>SUM(F2:F24)</f>
        <v>101250</v>
      </c>
      <c r="G25" s="26">
        <f>SUM(G2:G24)</f>
        <v>134850</v>
      </c>
      <c r="H25" s="26">
        <f>SUM(H2:H24)</f>
        <v>68600</v>
      </c>
      <c r="I25" s="1">
        <f>+D26+H26</f>
        <v>580350</v>
      </c>
      <c r="J25" s="54">
        <f>13800+8800</f>
        <v>22600</v>
      </c>
      <c r="K25" s="4"/>
      <c r="L25" s="54">
        <f>SUM(I25:K25)</f>
        <v>602950</v>
      </c>
    </row>
    <row r="26" spans="2:13" ht="16.5" thickTop="1" thickBot="1">
      <c r="C26" s="28" t="s">
        <v>1</v>
      </c>
      <c r="D26" s="29">
        <f>SUM(B25:D25)</f>
        <v>275650</v>
      </c>
      <c r="E26" s="28"/>
      <c r="F26" s="28"/>
      <c r="G26" s="28" t="s">
        <v>17</v>
      </c>
      <c r="H26" s="29">
        <f>SUM(F25:H25)</f>
        <v>304700</v>
      </c>
      <c r="J26" s="3" t="s">
        <v>19</v>
      </c>
      <c r="K26" s="3"/>
      <c r="L26" s="2">
        <v>10200</v>
      </c>
    </row>
    <row r="27" spans="2:13">
      <c r="C27" s="54" t="s">
        <v>18</v>
      </c>
      <c r="D27" s="28">
        <v>285850</v>
      </c>
      <c r="G27" s="54" t="s">
        <v>18</v>
      </c>
      <c r="H27" s="54">
        <v>304700</v>
      </c>
      <c r="L27" s="54">
        <f>SUM(L25:L26)</f>
        <v>613150</v>
      </c>
    </row>
    <row r="28" spans="2:13" ht="15.75" thickBot="1">
      <c r="C28" s="54" t="s">
        <v>5</v>
      </c>
      <c r="D28" s="54">
        <f>+D26-D27</f>
        <v>-10200</v>
      </c>
      <c r="G28" s="54" t="s">
        <v>5</v>
      </c>
      <c r="H28" s="54">
        <f>+H26-H27</f>
        <v>0</v>
      </c>
      <c r="J28" t="s">
        <v>4</v>
      </c>
      <c r="L28" s="2">
        <v>612050</v>
      </c>
    </row>
    <row r="29" spans="2:13">
      <c r="J29" s="3" t="s">
        <v>6</v>
      </c>
      <c r="L29" s="54">
        <f>+L27-L28</f>
        <v>1100</v>
      </c>
      <c r="M29" t="s">
        <v>65</v>
      </c>
    </row>
    <row r="30" spans="2:13">
      <c r="K30" s="3"/>
      <c r="L30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0"/>
  <sheetViews>
    <sheetView topLeftCell="A9" workbookViewId="0">
      <selection activeCell="D27" sqref="D27"/>
    </sheetView>
  </sheetViews>
  <sheetFormatPr defaultRowHeight="15"/>
  <cols>
    <col min="1" max="1" width="2.85546875" customWidth="1"/>
    <col min="2" max="2" width="10.5703125" style="65" bestFit="1" customWidth="1"/>
    <col min="3" max="3" width="9.28515625" style="65" bestFit="1" customWidth="1"/>
    <col min="4" max="4" width="10.28515625" style="65" customWidth="1"/>
    <col min="5" max="5" width="2.28515625" style="65" customWidth="1"/>
    <col min="6" max="7" width="9.28515625" style="65" bestFit="1" customWidth="1"/>
    <col min="8" max="8" width="12.5703125" style="65" customWidth="1"/>
    <col min="9" max="9" width="10.28515625" customWidth="1"/>
    <col min="10" max="10" width="12.42578125" customWidth="1"/>
    <col min="11" max="11" width="9" customWidth="1"/>
    <col min="12" max="12" width="11.5703125" style="65" bestFit="1" customWidth="1"/>
  </cols>
  <sheetData>
    <row r="1" spans="2:11">
      <c r="B1" s="65" t="s">
        <v>1</v>
      </c>
      <c r="F1" s="65" t="s">
        <v>51</v>
      </c>
    </row>
    <row r="2" spans="2:11">
      <c r="B2" s="58">
        <v>3000</v>
      </c>
      <c r="C2" s="58">
        <v>10000</v>
      </c>
      <c r="D2" s="58">
        <v>6500</v>
      </c>
      <c r="E2" s="32"/>
      <c r="F2" s="58">
        <v>1000</v>
      </c>
      <c r="G2" s="58">
        <v>2500</v>
      </c>
      <c r="H2" s="58">
        <v>2100</v>
      </c>
    </row>
    <row r="3" spans="2:11">
      <c r="B3" s="58">
        <v>1000</v>
      </c>
      <c r="C3" s="58">
        <v>3400</v>
      </c>
      <c r="D3" s="58">
        <v>7800</v>
      </c>
      <c r="E3" s="32"/>
      <c r="F3" s="58">
        <v>3500</v>
      </c>
      <c r="G3" s="58">
        <v>6200</v>
      </c>
      <c r="H3" s="58">
        <v>4600</v>
      </c>
    </row>
    <row r="4" spans="2:11">
      <c r="B4" s="58">
        <v>4600</v>
      </c>
      <c r="C4" s="58">
        <v>3700</v>
      </c>
      <c r="D4" s="58">
        <v>3900</v>
      </c>
      <c r="E4" s="32"/>
      <c r="F4" s="58">
        <v>5600</v>
      </c>
      <c r="G4" s="58">
        <v>3000</v>
      </c>
      <c r="H4" s="58">
        <v>2000</v>
      </c>
    </row>
    <row r="5" spans="2:11">
      <c r="B5" s="58">
        <v>8700</v>
      </c>
      <c r="C5" s="58">
        <v>2500</v>
      </c>
      <c r="D5" s="58">
        <v>7400</v>
      </c>
      <c r="E5" s="32"/>
      <c r="F5" s="58">
        <v>6500</v>
      </c>
      <c r="G5" s="58">
        <v>11900</v>
      </c>
      <c r="H5" s="58">
        <v>1500</v>
      </c>
      <c r="J5" t="s">
        <v>2</v>
      </c>
    </row>
    <row r="6" spans="2:11">
      <c r="B6" s="58">
        <v>2050</v>
      </c>
      <c r="C6" s="58">
        <v>9100</v>
      </c>
      <c r="D6" s="58">
        <v>2000</v>
      </c>
      <c r="E6" s="32"/>
      <c r="F6" s="58">
        <v>7000</v>
      </c>
      <c r="G6" s="58">
        <v>5400</v>
      </c>
      <c r="H6" s="58">
        <v>3000</v>
      </c>
      <c r="J6" s="58"/>
      <c r="K6" s="67"/>
    </row>
    <row r="7" spans="2:11">
      <c r="B7" s="58">
        <v>2200</v>
      </c>
      <c r="C7" s="58">
        <v>1500</v>
      </c>
      <c r="D7" s="58">
        <v>14400</v>
      </c>
      <c r="E7" s="32"/>
      <c r="F7" s="58">
        <v>3700</v>
      </c>
      <c r="G7" s="58">
        <v>2900</v>
      </c>
      <c r="H7" s="58">
        <v>800</v>
      </c>
      <c r="J7" s="58"/>
      <c r="K7" s="67"/>
    </row>
    <row r="8" spans="2:11">
      <c r="B8" s="58">
        <v>7200</v>
      </c>
      <c r="C8" s="58">
        <v>12500</v>
      </c>
      <c r="D8" s="58">
        <v>3200</v>
      </c>
      <c r="E8" s="32"/>
      <c r="F8" s="58">
        <v>1000</v>
      </c>
      <c r="G8" s="58">
        <v>5000</v>
      </c>
      <c r="H8" s="58">
        <v>9900</v>
      </c>
      <c r="J8" s="58"/>
      <c r="K8" s="67"/>
    </row>
    <row r="9" spans="2:11">
      <c r="B9" s="58">
        <v>6200</v>
      </c>
      <c r="C9" s="58">
        <v>5500</v>
      </c>
      <c r="D9" s="58">
        <v>2000</v>
      </c>
      <c r="E9" s="32"/>
      <c r="F9" s="58">
        <v>2000</v>
      </c>
      <c r="G9" s="58">
        <v>1700</v>
      </c>
      <c r="H9" s="58">
        <v>1000</v>
      </c>
      <c r="J9" s="58"/>
      <c r="K9" s="66"/>
    </row>
    <row r="10" spans="2:11">
      <c r="B10" s="58">
        <v>4200</v>
      </c>
      <c r="C10" s="58">
        <v>4800</v>
      </c>
      <c r="D10" s="58"/>
      <c r="E10" s="32"/>
      <c r="F10" s="58">
        <v>2000</v>
      </c>
      <c r="G10" s="58">
        <v>4700</v>
      </c>
      <c r="H10" s="58">
        <v>3100</v>
      </c>
      <c r="J10" s="58"/>
      <c r="K10" s="66"/>
    </row>
    <row r="11" spans="2:11">
      <c r="B11" s="58">
        <v>2100</v>
      </c>
      <c r="C11" s="58">
        <v>24300</v>
      </c>
      <c r="D11" s="58"/>
      <c r="E11" s="32"/>
      <c r="F11" s="58">
        <v>1100</v>
      </c>
      <c r="G11" s="58">
        <v>9000</v>
      </c>
      <c r="H11" s="58">
        <v>16900</v>
      </c>
      <c r="J11" s="58"/>
      <c r="K11" s="66"/>
    </row>
    <row r="12" spans="2:11">
      <c r="B12" s="58">
        <v>3500</v>
      </c>
      <c r="C12" s="58">
        <v>8200</v>
      </c>
      <c r="D12" s="58"/>
      <c r="E12" s="32"/>
      <c r="F12" s="58">
        <v>3700</v>
      </c>
      <c r="G12" s="58">
        <v>100</v>
      </c>
      <c r="H12" s="58">
        <v>700</v>
      </c>
      <c r="J12" s="58"/>
      <c r="K12" s="66"/>
    </row>
    <row r="13" spans="2:11">
      <c r="B13" s="58">
        <v>2000</v>
      </c>
      <c r="C13" s="58">
        <v>9400</v>
      </c>
      <c r="D13" s="58"/>
      <c r="E13" s="32"/>
      <c r="F13" s="58">
        <v>5500</v>
      </c>
      <c r="G13" s="58">
        <v>1000</v>
      </c>
      <c r="H13" s="58">
        <v>19400</v>
      </c>
      <c r="J13" s="58"/>
      <c r="K13" s="66"/>
    </row>
    <row r="14" spans="2:11">
      <c r="B14" s="58">
        <v>4500</v>
      </c>
      <c r="C14" s="58">
        <v>8900</v>
      </c>
      <c r="D14" s="58"/>
      <c r="E14" s="32"/>
      <c r="F14" s="58">
        <v>16000</v>
      </c>
      <c r="G14" s="58">
        <v>2700</v>
      </c>
      <c r="H14" s="58">
        <v>17800</v>
      </c>
      <c r="J14" s="58"/>
      <c r="K14" s="66"/>
    </row>
    <row r="15" spans="2:11">
      <c r="B15" s="58">
        <v>2700</v>
      </c>
      <c r="C15" s="58">
        <v>2500</v>
      </c>
      <c r="D15" s="58"/>
      <c r="E15" s="32"/>
      <c r="F15" s="58">
        <v>2600</v>
      </c>
      <c r="G15" s="58">
        <v>2000</v>
      </c>
      <c r="H15" s="58">
        <v>4100</v>
      </c>
      <c r="J15" s="58"/>
      <c r="K15" s="66"/>
    </row>
    <row r="16" spans="2:11">
      <c r="B16" s="58">
        <v>4700</v>
      </c>
      <c r="C16" s="58">
        <v>5700</v>
      </c>
      <c r="D16" s="58"/>
      <c r="E16" s="32"/>
      <c r="F16" s="58">
        <v>4900</v>
      </c>
      <c r="G16" s="58">
        <v>5600</v>
      </c>
      <c r="H16" s="58">
        <v>14900</v>
      </c>
      <c r="J16" s="58"/>
      <c r="K16" s="66"/>
    </row>
    <row r="17" spans="2:13">
      <c r="B17" s="58">
        <v>800</v>
      </c>
      <c r="C17" s="58">
        <v>1500</v>
      </c>
      <c r="D17" s="58"/>
      <c r="E17" s="32"/>
      <c r="F17" s="58">
        <v>11400</v>
      </c>
      <c r="G17" s="58">
        <v>10200</v>
      </c>
      <c r="H17" s="58">
        <v>4000</v>
      </c>
      <c r="J17" s="58"/>
      <c r="K17" s="66"/>
    </row>
    <row r="18" spans="2:13">
      <c r="B18" s="58">
        <v>2500</v>
      </c>
      <c r="C18" s="58">
        <v>8950</v>
      </c>
      <c r="D18" s="58"/>
      <c r="E18" s="32"/>
      <c r="F18" s="58">
        <v>8600</v>
      </c>
      <c r="G18" s="58">
        <v>3700</v>
      </c>
      <c r="H18" s="58">
        <v>7900</v>
      </c>
      <c r="J18" s="58"/>
      <c r="K18" s="66"/>
    </row>
    <row r="19" spans="2:13">
      <c r="B19" s="58">
        <v>1500</v>
      </c>
      <c r="C19" s="58">
        <v>7200</v>
      </c>
      <c r="D19" s="58"/>
      <c r="E19" s="32"/>
      <c r="F19" s="58">
        <v>1000</v>
      </c>
      <c r="G19" s="58">
        <v>2200</v>
      </c>
      <c r="H19" s="58">
        <v>1400</v>
      </c>
      <c r="J19" s="58"/>
      <c r="K19" s="66"/>
    </row>
    <row r="20" spans="2:13">
      <c r="B20" s="58">
        <v>5500</v>
      </c>
      <c r="C20" s="58">
        <v>2500</v>
      </c>
      <c r="D20" s="58"/>
      <c r="E20" s="32"/>
      <c r="F20" s="58">
        <v>3400</v>
      </c>
      <c r="G20" s="58">
        <v>1500</v>
      </c>
      <c r="H20" s="58">
        <v>3400</v>
      </c>
      <c r="J20" s="58"/>
      <c r="K20" s="66"/>
    </row>
    <row r="21" spans="2:13">
      <c r="B21" s="58">
        <v>5900</v>
      </c>
      <c r="C21" s="58">
        <v>10700</v>
      </c>
      <c r="D21" s="58"/>
      <c r="E21" s="32"/>
      <c r="F21" s="58">
        <v>8700</v>
      </c>
      <c r="G21" s="58">
        <v>10200</v>
      </c>
      <c r="H21" s="58"/>
      <c r="J21" s="58"/>
      <c r="K21" s="66"/>
    </row>
    <row r="22" spans="2:13" ht="15.75" thickBot="1">
      <c r="B22" s="58">
        <v>2000</v>
      </c>
      <c r="C22" s="58">
        <v>3250</v>
      </c>
      <c r="D22" s="58"/>
      <c r="E22" s="32"/>
      <c r="F22" s="58">
        <v>8350</v>
      </c>
      <c r="G22" s="58">
        <v>7450</v>
      </c>
      <c r="H22" s="58"/>
      <c r="J22" s="31">
        <f>SUM(J6:J21)</f>
        <v>0</v>
      </c>
      <c r="K22" s="66"/>
    </row>
    <row r="23" spans="2:13" ht="15.75" thickTop="1">
      <c r="B23" s="58">
        <v>1500</v>
      </c>
      <c r="C23" s="58">
        <v>3200</v>
      </c>
      <c r="D23" s="58"/>
      <c r="E23" s="32"/>
      <c r="F23" s="58">
        <v>4400</v>
      </c>
      <c r="G23" s="58">
        <v>11500</v>
      </c>
      <c r="H23" s="58"/>
    </row>
    <row r="24" spans="2:13">
      <c r="B24" s="58">
        <v>6800</v>
      </c>
      <c r="C24" s="58">
        <v>5100</v>
      </c>
      <c r="D24" s="58"/>
      <c r="E24" s="32"/>
      <c r="F24" s="58">
        <v>3500</v>
      </c>
      <c r="G24" s="58">
        <v>7900</v>
      </c>
      <c r="H24" s="58"/>
      <c r="J24" s="25" t="s">
        <v>0</v>
      </c>
      <c r="K24" s="33" t="s">
        <v>21</v>
      </c>
    </row>
    <row r="25" spans="2:13" s="65" customFormat="1" ht="15.75" thickBot="1">
      <c r="B25" s="26">
        <f>SUM(B2:B24)</f>
        <v>85150</v>
      </c>
      <c r="C25" s="26">
        <f>SUM(C2:C24)</f>
        <v>154400</v>
      </c>
      <c r="D25" s="26">
        <f>SUM(D2:D24)</f>
        <v>47200</v>
      </c>
      <c r="E25" s="27"/>
      <c r="F25" s="26">
        <f>SUM(F2:F24)</f>
        <v>115450</v>
      </c>
      <c r="G25" s="26">
        <f>SUM(G2:G24)</f>
        <v>118350</v>
      </c>
      <c r="H25" s="26">
        <f>SUM(H2:H24)</f>
        <v>118500</v>
      </c>
      <c r="I25" s="1">
        <f>+D26+H26</f>
        <v>639050</v>
      </c>
      <c r="J25" s="65">
        <v>22250</v>
      </c>
      <c r="K25" s="4"/>
      <c r="L25" s="65">
        <f>SUM(I25:K25)</f>
        <v>661300</v>
      </c>
    </row>
    <row r="26" spans="2:13" ht="16.5" thickTop="1" thickBot="1">
      <c r="C26" s="28" t="s">
        <v>1</v>
      </c>
      <c r="D26" s="29">
        <f>SUM(B25:D25)</f>
        <v>286750</v>
      </c>
      <c r="E26" s="28"/>
      <c r="F26" s="28"/>
      <c r="G26" s="28" t="s">
        <v>17</v>
      </c>
      <c r="H26" s="29">
        <f>SUM(F25:H25)</f>
        <v>352300</v>
      </c>
      <c r="J26" s="3" t="s">
        <v>19</v>
      </c>
      <c r="K26" s="3"/>
      <c r="L26" s="2">
        <v>-5000</v>
      </c>
    </row>
    <row r="27" spans="2:13">
      <c r="C27" s="65" t="s">
        <v>18</v>
      </c>
      <c r="D27" s="28">
        <v>281750</v>
      </c>
      <c r="G27" s="65" t="s">
        <v>18</v>
      </c>
      <c r="H27" s="65">
        <v>352300</v>
      </c>
      <c r="L27" s="65">
        <f>SUM(L25:L26)</f>
        <v>656300</v>
      </c>
    </row>
    <row r="28" spans="2:13" ht="15.75" thickBot="1">
      <c r="C28" s="65" t="s">
        <v>5</v>
      </c>
      <c r="D28" s="65">
        <f>+D26-D27</f>
        <v>5000</v>
      </c>
      <c r="G28" s="65" t="s">
        <v>5</v>
      </c>
      <c r="H28" s="65">
        <f>+H26-H27</f>
        <v>0</v>
      </c>
      <c r="J28" t="s">
        <v>4</v>
      </c>
      <c r="L28" s="2">
        <v>652600</v>
      </c>
    </row>
    <row r="29" spans="2:13">
      <c r="J29" s="3" t="s">
        <v>6</v>
      </c>
      <c r="L29" s="65">
        <f>+L27-L28</f>
        <v>3700</v>
      </c>
      <c r="M29" t="s">
        <v>45</v>
      </c>
    </row>
    <row r="30" spans="2:13">
      <c r="K30" s="3"/>
      <c r="L30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0"/>
  <sheetViews>
    <sheetView topLeftCell="A13" workbookViewId="0">
      <selection activeCell="J25" sqref="J25"/>
    </sheetView>
  </sheetViews>
  <sheetFormatPr defaultRowHeight="15"/>
  <cols>
    <col min="1" max="1" width="2.85546875" customWidth="1"/>
    <col min="2" max="2" width="10.5703125" style="65" bestFit="1" customWidth="1"/>
    <col min="3" max="3" width="9.28515625" style="65" bestFit="1" customWidth="1"/>
    <col min="4" max="4" width="10.28515625" style="65" customWidth="1"/>
    <col min="5" max="5" width="2.28515625" style="65" customWidth="1"/>
    <col min="6" max="7" width="9.28515625" style="65" bestFit="1" customWidth="1"/>
    <col min="8" max="8" width="12.5703125" style="65" customWidth="1"/>
    <col min="9" max="9" width="10.28515625" customWidth="1"/>
    <col min="10" max="10" width="12.42578125" customWidth="1"/>
    <col min="11" max="11" width="9" customWidth="1"/>
    <col min="12" max="12" width="11.5703125" style="65" bestFit="1" customWidth="1"/>
  </cols>
  <sheetData>
    <row r="1" spans="2:11">
      <c r="B1" s="65" t="s">
        <v>1</v>
      </c>
      <c r="F1" s="65" t="s">
        <v>51</v>
      </c>
    </row>
    <row r="2" spans="2:11">
      <c r="B2" s="58">
        <v>10000</v>
      </c>
      <c r="C2" s="58">
        <v>6800</v>
      </c>
      <c r="D2" s="58">
        <v>5200</v>
      </c>
      <c r="E2" s="32"/>
      <c r="F2" s="58">
        <v>5100</v>
      </c>
      <c r="G2" s="58">
        <v>4500</v>
      </c>
      <c r="H2" s="58"/>
    </row>
    <row r="3" spans="2:11">
      <c r="B3" s="58">
        <v>28900</v>
      </c>
      <c r="C3" s="58">
        <v>4500</v>
      </c>
      <c r="D3" s="58">
        <v>3400</v>
      </c>
      <c r="E3" s="32"/>
      <c r="F3" s="58">
        <v>2600</v>
      </c>
      <c r="G3" s="58">
        <v>4400</v>
      </c>
      <c r="H3" s="58"/>
    </row>
    <row r="4" spans="2:11">
      <c r="B4" s="58">
        <v>1500</v>
      </c>
      <c r="C4" s="58">
        <v>11400</v>
      </c>
      <c r="D4" s="58">
        <v>4900</v>
      </c>
      <c r="E4" s="32"/>
      <c r="F4" s="58">
        <v>4000</v>
      </c>
      <c r="G4" s="58">
        <v>4700</v>
      </c>
      <c r="H4" s="58"/>
    </row>
    <row r="5" spans="2:11">
      <c r="B5" s="58">
        <v>6300</v>
      </c>
      <c r="C5" s="58">
        <v>2000</v>
      </c>
      <c r="D5" s="58">
        <v>4500</v>
      </c>
      <c r="E5" s="32"/>
      <c r="F5" s="58">
        <v>4900</v>
      </c>
      <c r="G5" s="58">
        <v>3700</v>
      </c>
      <c r="H5" s="58"/>
      <c r="J5" t="s">
        <v>2</v>
      </c>
    </row>
    <row r="6" spans="2:11">
      <c r="B6" s="58">
        <v>3600</v>
      </c>
      <c r="C6" s="58"/>
      <c r="D6" s="58">
        <v>1100</v>
      </c>
      <c r="E6" s="32"/>
      <c r="F6" s="58">
        <v>9600</v>
      </c>
      <c r="G6" s="58">
        <v>1100</v>
      </c>
      <c r="H6" s="58"/>
      <c r="J6" s="58">
        <v>1000</v>
      </c>
      <c r="K6" s="68" t="s">
        <v>83</v>
      </c>
    </row>
    <row r="7" spans="2:11">
      <c r="B7" s="58">
        <v>11700</v>
      </c>
      <c r="C7" s="58">
        <v>2300</v>
      </c>
      <c r="D7" s="58"/>
      <c r="E7" s="32"/>
      <c r="F7" s="58">
        <v>2800</v>
      </c>
      <c r="G7" s="58">
        <v>8600</v>
      </c>
      <c r="H7" s="58"/>
      <c r="J7" s="58">
        <v>1000</v>
      </c>
      <c r="K7" s="68" t="s">
        <v>84</v>
      </c>
    </row>
    <row r="8" spans="2:11">
      <c r="B8" s="58">
        <v>8100</v>
      </c>
      <c r="C8" s="58">
        <v>3000</v>
      </c>
      <c r="D8" s="58"/>
      <c r="E8" s="32"/>
      <c r="F8" s="58">
        <v>1000</v>
      </c>
      <c r="G8" s="58">
        <v>4100</v>
      </c>
      <c r="H8" s="58">
        <v>10000</v>
      </c>
      <c r="J8" s="58">
        <v>600</v>
      </c>
      <c r="K8" s="68" t="s">
        <v>85</v>
      </c>
    </row>
    <row r="9" spans="2:11">
      <c r="B9" s="58">
        <v>2800</v>
      </c>
      <c r="C9" s="58">
        <v>4200</v>
      </c>
      <c r="D9" s="58"/>
      <c r="E9" s="32"/>
      <c r="F9" s="58">
        <v>3400</v>
      </c>
      <c r="G9" s="58"/>
      <c r="H9" s="58">
        <v>5400</v>
      </c>
      <c r="J9" s="58"/>
      <c r="K9" s="67"/>
    </row>
    <row r="10" spans="2:11">
      <c r="B10" s="58">
        <v>2000</v>
      </c>
      <c r="C10" s="58">
        <v>6700</v>
      </c>
      <c r="D10" s="58"/>
      <c r="E10" s="32"/>
      <c r="F10" s="58">
        <v>1600</v>
      </c>
      <c r="G10" s="58">
        <v>1000</v>
      </c>
      <c r="H10" s="58">
        <v>20000</v>
      </c>
      <c r="J10" s="58"/>
      <c r="K10" s="67"/>
    </row>
    <row r="11" spans="2:11">
      <c r="B11" s="58">
        <v>3700</v>
      </c>
      <c r="C11" s="58">
        <v>3200</v>
      </c>
      <c r="D11" s="58"/>
      <c r="E11" s="32"/>
      <c r="F11" s="58">
        <v>3000</v>
      </c>
      <c r="G11" s="58">
        <v>2750</v>
      </c>
      <c r="H11" s="58">
        <v>6900</v>
      </c>
      <c r="J11" s="58"/>
      <c r="K11" s="67"/>
    </row>
    <row r="12" spans="2:11">
      <c r="B12" s="58">
        <v>4200</v>
      </c>
      <c r="C12" s="58">
        <v>11900</v>
      </c>
      <c r="D12" s="58"/>
      <c r="E12" s="32"/>
      <c r="F12" s="58">
        <v>2500</v>
      </c>
      <c r="G12" s="58">
        <v>3800</v>
      </c>
      <c r="H12" s="58">
        <v>6000</v>
      </c>
      <c r="J12" s="58"/>
      <c r="K12" s="67"/>
    </row>
    <row r="13" spans="2:11">
      <c r="B13" s="58"/>
      <c r="C13" s="58">
        <v>6300</v>
      </c>
      <c r="D13" s="58"/>
      <c r="E13" s="32"/>
      <c r="F13" s="58">
        <v>5600</v>
      </c>
      <c r="G13" s="58">
        <v>5600</v>
      </c>
      <c r="H13" s="58"/>
      <c r="J13" s="58"/>
      <c r="K13" s="67"/>
    </row>
    <row r="14" spans="2:11">
      <c r="B14" s="58"/>
      <c r="C14" s="58">
        <v>3000</v>
      </c>
      <c r="D14" s="58"/>
      <c r="E14" s="32"/>
      <c r="F14" s="58">
        <v>6000</v>
      </c>
      <c r="G14" s="58">
        <v>22300</v>
      </c>
      <c r="H14" s="58"/>
      <c r="J14" s="58"/>
      <c r="K14" s="67"/>
    </row>
    <row r="15" spans="2:11">
      <c r="B15" s="58">
        <v>2600</v>
      </c>
      <c r="C15" s="58"/>
      <c r="D15" s="58"/>
      <c r="E15" s="32"/>
      <c r="F15" s="58">
        <v>3100</v>
      </c>
      <c r="G15" s="58">
        <v>500</v>
      </c>
      <c r="H15" s="58"/>
      <c r="J15" s="58"/>
      <c r="K15" s="67"/>
    </row>
    <row r="16" spans="2:11">
      <c r="B16" s="58">
        <v>10800</v>
      </c>
      <c r="C16" s="58">
        <v>3800</v>
      </c>
      <c r="D16" s="58"/>
      <c r="E16" s="32"/>
      <c r="F16" s="58">
        <v>2300</v>
      </c>
      <c r="G16" s="58">
        <v>1000</v>
      </c>
      <c r="H16" s="58"/>
      <c r="J16" s="58"/>
      <c r="K16" s="67"/>
    </row>
    <row r="17" spans="2:13">
      <c r="B17" s="58">
        <v>2200</v>
      </c>
      <c r="C17" s="58">
        <v>35700</v>
      </c>
      <c r="D17" s="58"/>
      <c r="E17" s="32"/>
      <c r="F17" s="58">
        <v>3300</v>
      </c>
      <c r="G17" s="58">
        <v>500</v>
      </c>
      <c r="H17" s="58"/>
      <c r="J17" s="58"/>
      <c r="K17" s="67"/>
    </row>
    <row r="18" spans="2:13">
      <c r="B18" s="58">
        <v>4000</v>
      </c>
      <c r="C18" s="58">
        <v>5200</v>
      </c>
      <c r="D18" s="58"/>
      <c r="E18" s="32"/>
      <c r="F18" s="58">
        <v>2600</v>
      </c>
      <c r="G18" s="58"/>
      <c r="H18" s="58"/>
      <c r="J18" s="58"/>
      <c r="K18" s="67"/>
    </row>
    <row r="19" spans="2:13">
      <c r="B19" s="58">
        <v>4500</v>
      </c>
      <c r="C19" s="58">
        <v>4400</v>
      </c>
      <c r="D19" s="58"/>
      <c r="E19" s="32"/>
      <c r="F19" s="58">
        <v>5100</v>
      </c>
      <c r="G19" s="58"/>
      <c r="H19" s="58"/>
      <c r="J19" s="58"/>
      <c r="K19" s="67"/>
    </row>
    <row r="20" spans="2:13">
      <c r="B20" s="58">
        <v>1800</v>
      </c>
      <c r="C20" s="58">
        <v>5200</v>
      </c>
      <c r="D20" s="58"/>
      <c r="E20" s="32"/>
      <c r="F20" s="58">
        <v>5300</v>
      </c>
      <c r="G20" s="58"/>
      <c r="H20" s="58"/>
      <c r="J20" s="58"/>
      <c r="K20" s="67"/>
    </row>
    <row r="21" spans="2:13">
      <c r="B21" s="58">
        <v>2200</v>
      </c>
      <c r="C21" s="58">
        <v>2500</v>
      </c>
      <c r="D21" s="58"/>
      <c r="E21" s="32"/>
      <c r="F21" s="58">
        <v>2500</v>
      </c>
      <c r="G21" s="58"/>
      <c r="H21" s="58"/>
      <c r="J21" s="58"/>
      <c r="K21" s="67"/>
    </row>
    <row r="22" spans="2:13" ht="15.75" thickBot="1">
      <c r="B22" s="58">
        <v>2100</v>
      </c>
      <c r="C22" s="58">
        <v>6700</v>
      </c>
      <c r="D22" s="58"/>
      <c r="E22" s="32"/>
      <c r="F22" s="58">
        <v>1850</v>
      </c>
      <c r="G22" s="58"/>
      <c r="H22" s="58"/>
      <c r="J22" s="31">
        <f>SUM(J6:J21)</f>
        <v>2600</v>
      </c>
      <c r="K22" s="67"/>
    </row>
    <row r="23" spans="2:13" ht="15.75" thickTop="1">
      <c r="B23" s="58">
        <v>1400</v>
      </c>
      <c r="C23" s="58">
        <v>5300</v>
      </c>
      <c r="D23" s="58"/>
      <c r="E23" s="32"/>
      <c r="F23" s="58">
        <v>5800</v>
      </c>
      <c r="G23" s="58"/>
      <c r="H23" s="58"/>
    </row>
    <row r="24" spans="2:13">
      <c r="B24" s="58">
        <v>700</v>
      </c>
      <c r="C24" s="58">
        <v>17400</v>
      </c>
      <c r="D24" s="58"/>
      <c r="E24" s="32"/>
      <c r="F24" s="58">
        <v>4500</v>
      </c>
      <c r="G24" s="58"/>
      <c r="H24" s="58"/>
      <c r="J24" s="25" t="s">
        <v>0</v>
      </c>
      <c r="K24" s="33" t="s">
        <v>21</v>
      </c>
    </row>
    <row r="25" spans="2:13" s="65" customFormat="1" ht="15.75" thickBot="1">
      <c r="B25" s="26">
        <f>SUM(B2:B24)</f>
        <v>115100</v>
      </c>
      <c r="C25" s="26">
        <f>SUM(C2:C24)</f>
        <v>151500</v>
      </c>
      <c r="D25" s="26">
        <f>SUM(D2:D24)</f>
        <v>19100</v>
      </c>
      <c r="E25" s="27"/>
      <c r="F25" s="26">
        <f>SUM(F2:F24)</f>
        <v>88450</v>
      </c>
      <c r="G25" s="26">
        <f>SUM(G2:G24)</f>
        <v>68550</v>
      </c>
      <c r="H25" s="26">
        <f>SUM(H2:H24)</f>
        <v>48300</v>
      </c>
      <c r="I25" s="70">
        <f>+D26+H26</f>
        <v>491000</v>
      </c>
      <c r="J25" s="65">
        <f>63050+2600</f>
        <v>65650</v>
      </c>
      <c r="K25" s="4"/>
      <c r="L25" s="65">
        <f>SUM(I25:K25)</f>
        <v>556650</v>
      </c>
    </row>
    <row r="26" spans="2:13" ht="16.5" thickTop="1" thickBot="1">
      <c r="C26" s="28" t="s">
        <v>1</v>
      </c>
      <c r="D26" s="29">
        <f>SUM(B25:D25)</f>
        <v>285700</v>
      </c>
      <c r="E26" s="28"/>
      <c r="F26" s="28"/>
      <c r="G26" s="28" t="s">
        <v>17</v>
      </c>
      <c r="H26" s="29">
        <f>SUM(F25:H25)</f>
        <v>205300</v>
      </c>
      <c r="J26" s="3" t="s">
        <v>19</v>
      </c>
      <c r="K26" s="3"/>
      <c r="L26" s="2"/>
    </row>
    <row r="27" spans="2:13">
      <c r="C27" s="65" t="s">
        <v>18</v>
      </c>
      <c r="D27" s="28">
        <v>277700</v>
      </c>
      <c r="G27" s="65" t="s">
        <v>18</v>
      </c>
      <c r="H27" s="65">
        <v>205300</v>
      </c>
      <c r="L27" s="65">
        <f>SUM(L25:L26)</f>
        <v>556650</v>
      </c>
    </row>
    <row r="28" spans="2:13" ht="15.75" thickBot="1">
      <c r="C28" s="65" t="s">
        <v>5</v>
      </c>
      <c r="D28" s="65">
        <f>+D26-D27</f>
        <v>8000</v>
      </c>
      <c r="G28" s="65" t="s">
        <v>5</v>
      </c>
      <c r="H28" s="65">
        <f>+H26-H27</f>
        <v>0</v>
      </c>
      <c r="J28" t="s">
        <v>4</v>
      </c>
      <c r="L28" s="2">
        <v>571700</v>
      </c>
    </row>
    <row r="29" spans="2:13">
      <c r="J29" s="3" t="s">
        <v>6</v>
      </c>
      <c r="L29" s="65">
        <f>+L27-L28</f>
        <v>-15050</v>
      </c>
      <c r="M29" t="s">
        <v>65</v>
      </c>
    </row>
    <row r="30" spans="2:13">
      <c r="K30" s="3"/>
      <c r="L30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1"/>
  <sheetViews>
    <sheetView topLeftCell="B11" workbookViewId="0">
      <selection activeCell="L27" sqref="L27"/>
    </sheetView>
  </sheetViews>
  <sheetFormatPr defaultRowHeight="15"/>
  <cols>
    <col min="1" max="1" width="2.85546875" customWidth="1"/>
    <col min="2" max="3" width="10.5703125" style="65" bestFit="1" customWidth="1"/>
    <col min="4" max="4" width="10.42578125" style="65" customWidth="1"/>
    <col min="5" max="5" width="2.28515625" style="65" customWidth="1"/>
    <col min="6" max="7" width="9.28515625" style="65" bestFit="1" customWidth="1"/>
    <col min="8" max="8" width="12.5703125" style="65" customWidth="1"/>
    <col min="9" max="9" width="10.28515625" customWidth="1"/>
    <col min="10" max="10" width="12.42578125" customWidth="1"/>
    <col min="11" max="11" width="9" customWidth="1"/>
    <col min="12" max="12" width="11.5703125" style="65" bestFit="1" customWidth="1"/>
  </cols>
  <sheetData>
    <row r="1" spans="2:11">
      <c r="B1" s="65" t="s">
        <v>1</v>
      </c>
      <c r="F1" s="65" t="s">
        <v>51</v>
      </c>
    </row>
    <row r="2" spans="2:11">
      <c r="B2" s="58">
        <v>4900</v>
      </c>
      <c r="C2" s="58">
        <v>19450</v>
      </c>
      <c r="D2" s="58"/>
      <c r="E2" s="32"/>
      <c r="F2" s="58">
        <v>2300</v>
      </c>
      <c r="G2" s="58">
        <v>4000</v>
      </c>
      <c r="H2" s="58">
        <v>4200</v>
      </c>
    </row>
    <row r="3" spans="2:11">
      <c r="B3" s="58">
        <v>2600</v>
      </c>
      <c r="C3" s="58">
        <v>1500</v>
      </c>
      <c r="D3" s="58"/>
      <c r="E3" s="32"/>
      <c r="F3" s="58">
        <v>7150</v>
      </c>
      <c r="G3" s="58">
        <v>2100</v>
      </c>
      <c r="H3" s="58">
        <v>3900</v>
      </c>
    </row>
    <row r="4" spans="2:11">
      <c r="B4" s="58">
        <v>5900</v>
      </c>
      <c r="C4" s="58">
        <v>2000</v>
      </c>
      <c r="D4" s="58"/>
      <c r="E4" s="32"/>
      <c r="F4" s="58">
        <v>2100</v>
      </c>
      <c r="G4" s="58">
        <v>5100</v>
      </c>
      <c r="H4" s="58">
        <v>4100</v>
      </c>
    </row>
    <row r="5" spans="2:11">
      <c r="B5" s="58">
        <v>2600</v>
      </c>
      <c r="C5" s="58">
        <v>2200</v>
      </c>
      <c r="D5" s="58"/>
      <c r="E5" s="32"/>
      <c r="F5" s="58">
        <v>6700</v>
      </c>
      <c r="G5" s="58">
        <v>4350</v>
      </c>
      <c r="H5" s="58">
        <v>26300</v>
      </c>
      <c r="J5" t="s">
        <v>2</v>
      </c>
    </row>
    <row r="6" spans="2:11">
      <c r="B6" s="58">
        <v>3800</v>
      </c>
      <c r="C6" s="58">
        <v>6700</v>
      </c>
      <c r="D6" s="58"/>
      <c r="E6" s="32"/>
      <c r="F6" s="58">
        <v>2000</v>
      </c>
      <c r="G6" s="58">
        <v>19000</v>
      </c>
      <c r="H6" s="58">
        <v>6000</v>
      </c>
      <c r="J6" s="58">
        <v>550</v>
      </c>
      <c r="K6" s="71" t="s">
        <v>92</v>
      </c>
    </row>
    <row r="7" spans="2:11">
      <c r="B7" s="58">
        <v>8000</v>
      </c>
      <c r="C7" s="58">
        <v>12500</v>
      </c>
      <c r="D7" s="58"/>
      <c r="E7" s="32"/>
      <c r="F7" s="58">
        <v>3300</v>
      </c>
      <c r="G7" s="58">
        <v>2100</v>
      </c>
      <c r="H7" s="58">
        <v>6500</v>
      </c>
      <c r="J7" s="58">
        <v>2000</v>
      </c>
      <c r="K7" s="71" t="s">
        <v>93</v>
      </c>
    </row>
    <row r="8" spans="2:11">
      <c r="B8" s="58">
        <v>4000</v>
      </c>
      <c r="C8" s="58">
        <v>1100</v>
      </c>
      <c r="D8" s="58"/>
      <c r="E8" s="32"/>
      <c r="F8" s="58">
        <v>1300</v>
      </c>
      <c r="G8" s="58">
        <v>8200</v>
      </c>
      <c r="H8" s="58">
        <v>3700</v>
      </c>
      <c r="J8" s="58">
        <v>4000</v>
      </c>
      <c r="K8" s="71" t="s">
        <v>95</v>
      </c>
    </row>
    <row r="9" spans="2:11">
      <c r="B9" s="58">
        <v>7700</v>
      </c>
      <c r="C9" s="58">
        <v>3000</v>
      </c>
      <c r="D9" s="58"/>
      <c r="E9" s="32"/>
      <c r="F9" s="58">
        <v>15950</v>
      </c>
      <c r="G9" s="58">
        <v>4000</v>
      </c>
      <c r="H9" s="58">
        <v>3300</v>
      </c>
      <c r="J9" s="58">
        <v>2000</v>
      </c>
      <c r="K9" s="71" t="s">
        <v>94</v>
      </c>
    </row>
    <row r="10" spans="2:11">
      <c r="B10" s="58">
        <v>23500</v>
      </c>
      <c r="C10" s="58">
        <v>10500</v>
      </c>
      <c r="D10" s="58"/>
      <c r="E10" s="32"/>
      <c r="F10" s="58">
        <v>2500</v>
      </c>
      <c r="G10" s="58">
        <v>3100</v>
      </c>
      <c r="H10" s="58">
        <v>2300</v>
      </c>
      <c r="J10" s="58">
        <v>3000</v>
      </c>
      <c r="K10" s="71" t="s">
        <v>96</v>
      </c>
    </row>
    <row r="11" spans="2:11">
      <c r="B11" s="58">
        <v>2200</v>
      </c>
      <c r="C11" s="58">
        <v>3000</v>
      </c>
      <c r="D11" s="58"/>
      <c r="E11" s="32"/>
      <c r="F11" s="58">
        <v>5100</v>
      </c>
      <c r="G11" s="58">
        <v>4700</v>
      </c>
      <c r="H11" s="58">
        <v>3800</v>
      </c>
      <c r="J11" s="58"/>
      <c r="K11" s="68"/>
    </row>
    <row r="12" spans="2:11">
      <c r="B12" s="58">
        <v>4900</v>
      </c>
      <c r="C12" s="58">
        <v>10000</v>
      </c>
      <c r="D12" s="58"/>
      <c r="E12" s="32"/>
      <c r="F12" s="58">
        <v>500</v>
      </c>
      <c r="G12" s="58">
        <v>3000</v>
      </c>
      <c r="H12" s="58">
        <v>17600</v>
      </c>
      <c r="J12" s="58"/>
      <c r="K12" s="68"/>
    </row>
    <row r="13" spans="2:11">
      <c r="B13" s="58">
        <v>6400</v>
      </c>
      <c r="C13" s="58">
        <v>5400</v>
      </c>
      <c r="D13" s="58"/>
      <c r="E13" s="32"/>
      <c r="F13" s="58">
        <v>6500</v>
      </c>
      <c r="G13" s="58">
        <v>4100</v>
      </c>
      <c r="H13" s="58"/>
      <c r="J13" s="58"/>
      <c r="K13" s="68"/>
    </row>
    <row r="14" spans="2:11">
      <c r="B14" s="58">
        <v>5600</v>
      </c>
      <c r="C14" s="58">
        <v>8200</v>
      </c>
      <c r="D14" s="58"/>
      <c r="E14" s="32"/>
      <c r="F14" s="58">
        <v>4000</v>
      </c>
      <c r="G14" s="58">
        <v>3000</v>
      </c>
      <c r="H14" s="58"/>
      <c r="J14" s="58"/>
      <c r="K14" s="68"/>
    </row>
    <row r="15" spans="2:11">
      <c r="B15" s="58">
        <v>3400</v>
      </c>
      <c r="C15" s="58">
        <v>1000</v>
      </c>
      <c r="D15" s="58"/>
      <c r="E15" s="32"/>
      <c r="F15" s="58">
        <v>5100</v>
      </c>
      <c r="G15" s="58">
        <v>19400</v>
      </c>
      <c r="H15" s="58"/>
      <c r="J15" s="58"/>
      <c r="K15" s="68"/>
    </row>
    <row r="16" spans="2:11">
      <c r="B16" s="58">
        <v>3300</v>
      </c>
      <c r="C16" s="58">
        <v>1400</v>
      </c>
      <c r="D16" s="58"/>
      <c r="E16" s="32"/>
      <c r="F16" s="58">
        <v>2800</v>
      </c>
      <c r="G16" s="58">
        <v>6700</v>
      </c>
      <c r="H16" s="58"/>
      <c r="J16" s="58"/>
      <c r="K16" s="68"/>
    </row>
    <row r="17" spans="2:13">
      <c r="B17" s="58">
        <v>5100</v>
      </c>
      <c r="C17" s="58">
        <v>3400</v>
      </c>
      <c r="D17" s="58"/>
      <c r="E17" s="32"/>
      <c r="F17" s="58">
        <v>2800</v>
      </c>
      <c r="G17" s="58">
        <v>5000</v>
      </c>
      <c r="H17" s="58"/>
      <c r="J17" s="58"/>
      <c r="K17" s="68"/>
    </row>
    <row r="18" spans="2:13">
      <c r="B18" s="58">
        <v>2500</v>
      </c>
      <c r="C18" s="58">
        <v>3500</v>
      </c>
      <c r="D18" s="58"/>
      <c r="E18" s="32"/>
      <c r="F18" s="58">
        <v>3000</v>
      </c>
      <c r="G18" s="58">
        <v>5300</v>
      </c>
      <c r="H18" s="58"/>
      <c r="J18" s="58"/>
      <c r="K18" s="68"/>
    </row>
    <row r="19" spans="2:13">
      <c r="B19" s="58">
        <v>3500</v>
      </c>
      <c r="C19" s="58">
        <v>11900</v>
      </c>
      <c r="D19" s="58"/>
      <c r="E19" s="32"/>
      <c r="F19" s="58">
        <v>2000</v>
      </c>
      <c r="G19" s="58">
        <v>3750</v>
      </c>
      <c r="H19" s="58"/>
      <c r="J19" s="58"/>
      <c r="K19" s="68"/>
    </row>
    <row r="20" spans="2:13">
      <c r="B20" s="58">
        <v>18300</v>
      </c>
      <c r="C20" s="58">
        <v>4900</v>
      </c>
      <c r="D20" s="58"/>
      <c r="E20" s="32"/>
      <c r="F20" s="58">
        <v>3000</v>
      </c>
      <c r="G20" s="58">
        <v>500</v>
      </c>
      <c r="H20" s="58"/>
      <c r="J20" s="58"/>
      <c r="K20" s="68"/>
    </row>
    <row r="21" spans="2:13">
      <c r="B21" s="58">
        <v>3400</v>
      </c>
      <c r="C21" s="58">
        <v>3600</v>
      </c>
      <c r="D21" s="58"/>
      <c r="E21" s="32"/>
      <c r="F21" s="58">
        <v>1600</v>
      </c>
      <c r="G21" s="58">
        <v>10600</v>
      </c>
      <c r="H21" s="58"/>
      <c r="J21" s="58"/>
      <c r="K21" s="68"/>
    </row>
    <row r="22" spans="2:13" ht="15.75" thickBot="1">
      <c r="B22" s="58">
        <v>8300</v>
      </c>
      <c r="C22" s="58">
        <v>4900</v>
      </c>
      <c r="D22" s="58"/>
      <c r="E22" s="32"/>
      <c r="F22" s="58">
        <v>11400</v>
      </c>
      <c r="G22" s="58">
        <v>1200</v>
      </c>
      <c r="H22" s="58"/>
      <c r="J22" s="76">
        <f>SUM(J6:J21)</f>
        <v>11550</v>
      </c>
      <c r="K22" s="68"/>
    </row>
    <row r="23" spans="2:13" ht="15.75" thickTop="1">
      <c r="B23" s="58">
        <v>4800</v>
      </c>
      <c r="C23" s="58"/>
      <c r="D23" s="58"/>
      <c r="E23" s="32"/>
      <c r="F23" s="58">
        <v>1300</v>
      </c>
      <c r="G23" s="58">
        <v>500</v>
      </c>
      <c r="H23" s="58"/>
    </row>
    <row r="24" spans="2:13">
      <c r="B24" s="58">
        <v>4400</v>
      </c>
      <c r="C24" s="58"/>
      <c r="D24" s="58"/>
      <c r="E24" s="32"/>
      <c r="F24" s="58">
        <v>9100</v>
      </c>
      <c r="G24" s="58">
        <v>1000</v>
      </c>
      <c r="H24" s="58"/>
      <c r="J24" s="25"/>
      <c r="K24" s="33"/>
    </row>
    <row r="25" spans="2:13" s="65" customFormat="1" ht="15.75" thickBot="1">
      <c r="B25" s="72">
        <f>SUM(B2:B24)</f>
        <v>139100</v>
      </c>
      <c r="C25" s="72">
        <f>SUM(C2:C24)</f>
        <v>120150</v>
      </c>
      <c r="D25" s="72">
        <f>SUM(D2:D24)</f>
        <v>0</v>
      </c>
      <c r="E25" s="72"/>
      <c r="F25" s="72">
        <f>SUM(F2:F24)</f>
        <v>101500</v>
      </c>
      <c r="G25" s="72">
        <f>SUM(G2:G24)</f>
        <v>120700</v>
      </c>
      <c r="H25" s="72">
        <f>SUM(H2:H24)</f>
        <v>81700</v>
      </c>
      <c r="I25" s="70">
        <f>+D26+H26</f>
        <v>563150</v>
      </c>
      <c r="K25" s="4"/>
    </row>
    <row r="26" spans="2:13" ht="15.75" thickTop="1">
      <c r="C26" s="74" t="s">
        <v>1</v>
      </c>
      <c r="D26" s="75">
        <f>SUM(B25:D25)</f>
        <v>259250</v>
      </c>
      <c r="E26" s="28"/>
      <c r="F26" s="28"/>
      <c r="G26" s="74" t="s">
        <v>17</v>
      </c>
      <c r="H26" s="75">
        <f>SUM(F25:H25)</f>
        <v>303900</v>
      </c>
      <c r="J26" s="3" t="s">
        <v>97</v>
      </c>
      <c r="K26" s="3"/>
      <c r="L26" s="78">
        <f>+D27+H27</f>
        <v>575050</v>
      </c>
    </row>
    <row r="27" spans="2:13">
      <c r="C27" s="65" t="s">
        <v>18</v>
      </c>
      <c r="D27" s="28">
        <v>253750</v>
      </c>
      <c r="G27" s="65" t="s">
        <v>18</v>
      </c>
      <c r="H27" s="65">
        <v>321300</v>
      </c>
      <c r="J27" t="s">
        <v>100</v>
      </c>
      <c r="L27" s="65">
        <v>82750</v>
      </c>
    </row>
    <row r="28" spans="2:13" ht="15.75" thickBot="1">
      <c r="C28" s="73" t="s">
        <v>5</v>
      </c>
      <c r="D28" s="73">
        <f>+D26-D27</f>
        <v>5500</v>
      </c>
      <c r="E28" s="73"/>
      <c r="F28" s="73"/>
      <c r="G28" s="73" t="s">
        <v>5</v>
      </c>
      <c r="H28" s="73">
        <f>+H26-H27</f>
        <v>-17400</v>
      </c>
      <c r="J28" t="s">
        <v>98</v>
      </c>
      <c r="L28" s="2">
        <v>0</v>
      </c>
    </row>
    <row r="29" spans="2:13">
      <c r="J29" s="3" t="s">
        <v>99</v>
      </c>
      <c r="K29" s="3"/>
      <c r="L29" s="4">
        <f>SUM(L26:L28)</f>
        <v>657800</v>
      </c>
    </row>
    <row r="30" spans="2:13" ht="15.75" thickBot="1">
      <c r="J30" t="s">
        <v>4</v>
      </c>
      <c r="L30" s="77">
        <v>662750</v>
      </c>
    </row>
    <row r="31" spans="2:13">
      <c r="I31" s="49"/>
      <c r="J31" s="3" t="s">
        <v>6</v>
      </c>
      <c r="L31" s="73">
        <f>+L29-L30</f>
        <v>-4950</v>
      </c>
      <c r="M31" t="s">
        <v>39</v>
      </c>
    </row>
  </sheetData>
  <pageMargins left="0.7" right="0.7" top="0.75" bottom="0.75" header="0.3" footer="0.3"/>
  <pageSetup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1"/>
  <sheetViews>
    <sheetView topLeftCell="A15" workbookViewId="0">
      <selection activeCell="L27" sqref="L27"/>
    </sheetView>
  </sheetViews>
  <sheetFormatPr defaultRowHeight="15"/>
  <cols>
    <col min="1" max="1" width="2.85546875" customWidth="1"/>
    <col min="2" max="3" width="10.5703125" style="65" bestFit="1" customWidth="1"/>
    <col min="4" max="4" width="10.42578125" style="65" customWidth="1"/>
    <col min="5" max="5" width="2.28515625" style="65" customWidth="1"/>
    <col min="6" max="7" width="9.28515625" style="65" bestFit="1" customWidth="1"/>
    <col min="8" max="8" width="12.5703125" style="65" customWidth="1"/>
    <col min="9" max="9" width="10.28515625" customWidth="1"/>
    <col min="10" max="10" width="12.42578125" customWidth="1"/>
    <col min="11" max="11" width="9" customWidth="1"/>
    <col min="12" max="12" width="11.5703125" style="65" bestFit="1" customWidth="1"/>
  </cols>
  <sheetData>
    <row r="1" spans="2:11">
      <c r="B1" s="65" t="s">
        <v>1</v>
      </c>
      <c r="F1" s="65" t="s">
        <v>51</v>
      </c>
    </row>
    <row r="2" spans="2:11">
      <c r="B2" s="58">
        <v>1600</v>
      </c>
      <c r="C2" s="58">
        <v>5950</v>
      </c>
      <c r="D2" s="58">
        <v>2400</v>
      </c>
      <c r="E2" s="32"/>
      <c r="F2" s="58">
        <v>7800</v>
      </c>
      <c r="G2" s="58">
        <v>9600</v>
      </c>
      <c r="H2" s="58">
        <v>8800</v>
      </c>
    </row>
    <row r="3" spans="2:11">
      <c r="B3" s="58">
        <v>2000</v>
      </c>
      <c r="C3" s="58">
        <v>4500</v>
      </c>
      <c r="D3" s="58">
        <v>4400</v>
      </c>
      <c r="E3" s="32"/>
      <c r="F3" s="58">
        <v>11750</v>
      </c>
      <c r="G3" s="58">
        <v>2000</v>
      </c>
      <c r="H3" s="58">
        <v>5600</v>
      </c>
    </row>
    <row r="4" spans="2:11">
      <c r="B4" s="58">
        <v>3000</v>
      </c>
      <c r="C4" s="58">
        <v>2700</v>
      </c>
      <c r="D4" s="58">
        <v>3200</v>
      </c>
      <c r="E4" s="32"/>
      <c r="F4" s="58">
        <v>5000</v>
      </c>
      <c r="G4" s="58">
        <v>4500</v>
      </c>
      <c r="H4" s="58">
        <v>300</v>
      </c>
    </row>
    <row r="5" spans="2:11">
      <c r="B5" s="58">
        <v>5000</v>
      </c>
      <c r="C5" s="58">
        <v>2500</v>
      </c>
      <c r="D5" s="58">
        <v>2000</v>
      </c>
      <c r="E5" s="32"/>
      <c r="F5" s="58">
        <v>1500</v>
      </c>
      <c r="G5" s="58">
        <v>750</v>
      </c>
      <c r="H5" s="58">
        <v>200</v>
      </c>
      <c r="J5" t="s">
        <v>2</v>
      </c>
    </row>
    <row r="6" spans="2:11">
      <c r="B6" s="58">
        <v>9200</v>
      </c>
      <c r="C6" s="58">
        <v>2000</v>
      </c>
      <c r="D6" s="58">
        <v>5200</v>
      </c>
      <c r="E6" s="32"/>
      <c r="F6" s="58">
        <v>10500</v>
      </c>
      <c r="G6" s="58">
        <v>8100</v>
      </c>
      <c r="H6" s="58">
        <v>6000</v>
      </c>
      <c r="J6" s="58"/>
      <c r="K6" s="71"/>
    </row>
    <row r="7" spans="2:11">
      <c r="B7" s="58">
        <v>2500</v>
      </c>
      <c r="C7" s="58">
        <v>3400</v>
      </c>
      <c r="D7" s="58">
        <v>7100</v>
      </c>
      <c r="E7" s="32"/>
      <c r="F7" s="58">
        <v>4050</v>
      </c>
      <c r="G7" s="58">
        <v>5000</v>
      </c>
      <c r="H7" s="58">
        <v>4200</v>
      </c>
      <c r="J7" s="58"/>
      <c r="K7" s="71"/>
    </row>
    <row r="8" spans="2:11">
      <c r="B8" s="58">
        <v>1550</v>
      </c>
      <c r="C8" s="58">
        <v>5850</v>
      </c>
      <c r="D8" s="58"/>
      <c r="E8" s="32"/>
      <c r="F8" s="58">
        <v>1800</v>
      </c>
      <c r="G8" s="58">
        <v>1700</v>
      </c>
      <c r="H8" s="58">
        <v>1800</v>
      </c>
      <c r="J8" s="58"/>
      <c r="K8" s="71"/>
    </row>
    <row r="9" spans="2:11">
      <c r="B9" s="58">
        <v>4100</v>
      </c>
      <c r="C9" s="58">
        <v>1900</v>
      </c>
      <c r="D9" s="58"/>
      <c r="E9" s="32"/>
      <c r="F9" s="58">
        <v>1200</v>
      </c>
      <c r="G9" s="58">
        <v>3600</v>
      </c>
      <c r="H9" s="58">
        <v>2700</v>
      </c>
      <c r="J9" s="58"/>
      <c r="K9" s="71"/>
    </row>
    <row r="10" spans="2:11">
      <c r="B10" s="58">
        <v>6100</v>
      </c>
      <c r="C10" s="58">
        <v>2700</v>
      </c>
      <c r="D10" s="58"/>
      <c r="E10" s="32"/>
      <c r="F10" s="58">
        <v>2000</v>
      </c>
      <c r="G10" s="58">
        <v>3200</v>
      </c>
      <c r="H10" s="58">
        <v>5000</v>
      </c>
      <c r="J10" s="58"/>
      <c r="K10" s="71"/>
    </row>
    <row r="11" spans="2:11">
      <c r="B11" s="58">
        <v>2500</v>
      </c>
      <c r="C11" s="58">
        <v>4100</v>
      </c>
      <c r="D11" s="58"/>
      <c r="E11" s="32"/>
      <c r="F11" s="58">
        <v>5100</v>
      </c>
      <c r="G11" s="58">
        <v>2500</v>
      </c>
      <c r="H11" s="58">
        <v>8600</v>
      </c>
      <c r="J11" s="58"/>
      <c r="K11" s="71"/>
    </row>
    <row r="12" spans="2:11">
      <c r="B12" s="58">
        <v>2000</v>
      </c>
      <c r="C12" s="58">
        <v>16300</v>
      </c>
      <c r="D12" s="58"/>
      <c r="E12" s="32"/>
      <c r="F12" s="58">
        <v>1500</v>
      </c>
      <c r="G12" s="58">
        <v>3400</v>
      </c>
      <c r="H12" s="58">
        <v>6500</v>
      </c>
      <c r="J12" s="58"/>
      <c r="K12" s="71"/>
    </row>
    <row r="13" spans="2:11">
      <c r="B13" s="58">
        <v>7400</v>
      </c>
      <c r="C13" s="58">
        <v>5550</v>
      </c>
      <c r="D13" s="58"/>
      <c r="E13" s="32"/>
      <c r="F13" s="58">
        <v>3400</v>
      </c>
      <c r="G13" s="58">
        <v>16400</v>
      </c>
      <c r="H13" s="58"/>
      <c r="J13" s="58"/>
      <c r="K13" s="71"/>
    </row>
    <row r="14" spans="2:11">
      <c r="B14" s="58">
        <v>7850</v>
      </c>
      <c r="C14" s="58">
        <v>5400</v>
      </c>
      <c r="D14" s="58"/>
      <c r="E14" s="32"/>
      <c r="F14" s="58">
        <v>2500</v>
      </c>
      <c r="G14" s="58">
        <v>1600</v>
      </c>
      <c r="H14" s="58"/>
      <c r="J14" s="58"/>
      <c r="K14" s="71"/>
    </row>
    <row r="15" spans="2:11">
      <c r="B15" s="58">
        <v>2800</v>
      </c>
      <c r="C15" s="58">
        <v>5600</v>
      </c>
      <c r="D15" s="58"/>
      <c r="E15" s="32"/>
      <c r="F15" s="58">
        <v>8300</v>
      </c>
      <c r="G15" s="58">
        <v>10500</v>
      </c>
      <c r="H15" s="58"/>
      <c r="J15" s="58"/>
      <c r="K15" s="71"/>
    </row>
    <row r="16" spans="2:11">
      <c r="B16" s="58">
        <v>11000</v>
      </c>
      <c r="C16" s="58">
        <v>5500</v>
      </c>
      <c r="D16" s="58"/>
      <c r="E16" s="32"/>
      <c r="F16" s="58">
        <v>4400</v>
      </c>
      <c r="G16" s="58">
        <v>2300</v>
      </c>
      <c r="H16" s="58"/>
      <c r="J16" s="58"/>
      <c r="K16" s="71"/>
    </row>
    <row r="17" spans="2:13">
      <c r="B17" s="58">
        <v>800</v>
      </c>
      <c r="C17" s="58">
        <v>11500</v>
      </c>
      <c r="D17" s="58"/>
      <c r="E17" s="32"/>
      <c r="F17" s="58">
        <v>4000</v>
      </c>
      <c r="G17" s="58">
        <v>12000</v>
      </c>
      <c r="H17" s="58"/>
      <c r="J17" s="58"/>
      <c r="K17" s="71"/>
    </row>
    <row r="18" spans="2:13">
      <c r="B18" s="58">
        <v>3400</v>
      </c>
      <c r="C18" s="58">
        <v>4000</v>
      </c>
      <c r="D18" s="58"/>
      <c r="E18" s="32"/>
      <c r="F18" s="58">
        <v>24700</v>
      </c>
      <c r="G18" s="58">
        <v>8400</v>
      </c>
      <c r="H18" s="58"/>
      <c r="J18" s="58"/>
      <c r="K18" s="71"/>
    </row>
    <row r="19" spans="2:13">
      <c r="B19" s="58">
        <v>1500</v>
      </c>
      <c r="C19" s="58">
        <v>2000</v>
      </c>
      <c r="D19" s="58"/>
      <c r="E19" s="32"/>
      <c r="F19" s="58">
        <v>4000</v>
      </c>
      <c r="G19" s="58">
        <v>8300</v>
      </c>
      <c r="H19" s="58"/>
      <c r="J19" s="58"/>
      <c r="K19" s="71"/>
    </row>
    <row r="20" spans="2:13">
      <c r="B20" s="58">
        <v>4000</v>
      </c>
      <c r="C20" s="58">
        <v>3100</v>
      </c>
      <c r="D20" s="58"/>
      <c r="E20" s="32"/>
      <c r="F20" s="58">
        <v>4000</v>
      </c>
      <c r="G20" s="58">
        <v>3800</v>
      </c>
      <c r="H20" s="58"/>
      <c r="J20" s="58"/>
      <c r="K20" s="71"/>
    </row>
    <row r="21" spans="2:13">
      <c r="B21" s="58">
        <v>1900</v>
      </c>
      <c r="C21" s="58">
        <v>7850</v>
      </c>
      <c r="D21" s="58"/>
      <c r="E21" s="32"/>
      <c r="F21" s="58">
        <v>1000</v>
      </c>
      <c r="G21" s="58">
        <v>5900</v>
      </c>
      <c r="H21" s="58"/>
      <c r="J21" s="58"/>
      <c r="K21" s="71"/>
    </row>
    <row r="22" spans="2:13" ht="15.75" thickBot="1">
      <c r="B22" s="58">
        <v>11600</v>
      </c>
      <c r="C22" s="58">
        <v>2400</v>
      </c>
      <c r="D22" s="58"/>
      <c r="E22" s="32"/>
      <c r="F22" s="58">
        <v>4500</v>
      </c>
      <c r="G22" s="58">
        <v>4400</v>
      </c>
      <c r="H22" s="58"/>
      <c r="J22" s="76">
        <f>SUM(J6:J21)</f>
        <v>0</v>
      </c>
      <c r="K22" s="71"/>
    </row>
    <row r="23" spans="2:13" ht="15.75" thickTop="1">
      <c r="B23" s="58">
        <v>3000</v>
      </c>
      <c r="C23" s="58">
        <v>2900</v>
      </c>
      <c r="D23" s="58"/>
      <c r="E23" s="32"/>
      <c r="F23" s="58">
        <v>5200</v>
      </c>
      <c r="G23" s="58">
        <v>4400</v>
      </c>
      <c r="H23" s="58"/>
    </row>
    <row r="24" spans="2:13">
      <c r="B24" s="58">
        <v>3600</v>
      </c>
      <c r="C24" s="58">
        <v>15000</v>
      </c>
      <c r="D24" s="58"/>
      <c r="E24" s="32"/>
      <c r="F24" s="58">
        <v>2000</v>
      </c>
      <c r="G24" s="58">
        <v>7700</v>
      </c>
      <c r="H24" s="58"/>
      <c r="J24" s="25"/>
      <c r="K24" s="33"/>
    </row>
    <row r="25" spans="2:13" s="65" customFormat="1" ht="15.75" thickBot="1">
      <c r="B25" s="72">
        <f>SUM(B2:B24)</f>
        <v>98400</v>
      </c>
      <c r="C25" s="72">
        <f>SUM(C2:C24)</f>
        <v>122700</v>
      </c>
      <c r="D25" s="72">
        <f>SUM(D2:D24)</f>
        <v>24300</v>
      </c>
      <c r="E25" s="72"/>
      <c r="F25" s="72">
        <f>SUM(F2:F24)</f>
        <v>120200</v>
      </c>
      <c r="G25" s="72">
        <f>SUM(G2:G24)</f>
        <v>130050</v>
      </c>
      <c r="H25" s="72">
        <f>SUM(H2:H24)</f>
        <v>49700</v>
      </c>
      <c r="I25" s="70">
        <f>+D26+H26</f>
        <v>545350</v>
      </c>
      <c r="K25" s="4"/>
    </row>
    <row r="26" spans="2:13" ht="15.75" thickTop="1">
      <c r="C26" s="74" t="s">
        <v>1</v>
      </c>
      <c r="D26" s="75">
        <f>SUM(B25:D25)</f>
        <v>245400</v>
      </c>
      <c r="E26" s="28"/>
      <c r="F26" s="28"/>
      <c r="G26" s="74" t="s">
        <v>17</v>
      </c>
      <c r="H26" s="75">
        <f>SUM(F25:H25)</f>
        <v>299950</v>
      </c>
      <c r="J26" s="79" t="s">
        <v>97</v>
      </c>
      <c r="K26" s="79"/>
      <c r="L26" s="32">
        <f>+D27+H27</f>
        <v>550050</v>
      </c>
    </row>
    <row r="27" spans="2:13">
      <c r="C27" s="65" t="s">
        <v>18</v>
      </c>
      <c r="D27" s="28">
        <v>245900</v>
      </c>
      <c r="G27" s="65" t="s">
        <v>18</v>
      </c>
      <c r="H27" s="65">
        <v>304150</v>
      </c>
      <c r="J27" s="80" t="s">
        <v>100</v>
      </c>
      <c r="K27" s="80"/>
      <c r="L27" s="58">
        <v>45500</v>
      </c>
    </row>
    <row r="28" spans="2:13" ht="15.75" thickBot="1">
      <c r="C28" s="73" t="s">
        <v>5</v>
      </c>
      <c r="D28" s="73">
        <f>+D26-D27</f>
        <v>-500</v>
      </c>
      <c r="E28" s="73"/>
      <c r="F28" s="73"/>
      <c r="G28" s="73" t="s">
        <v>5</v>
      </c>
      <c r="H28" s="73">
        <f>+H26-H27</f>
        <v>-4200</v>
      </c>
      <c r="J28" s="84" t="s">
        <v>98</v>
      </c>
      <c r="K28" s="84"/>
      <c r="L28" s="85"/>
    </row>
    <row r="29" spans="2:13" ht="15.75" thickBot="1">
      <c r="J29" s="86" t="s">
        <v>99</v>
      </c>
      <c r="K29" s="86"/>
      <c r="L29" s="87">
        <f>SUM(L26:L28)</f>
        <v>595550</v>
      </c>
    </row>
    <row r="30" spans="2:13" ht="15.75" thickTop="1">
      <c r="J30" s="82" t="s">
        <v>4</v>
      </c>
      <c r="K30" s="82"/>
      <c r="L30" s="83">
        <v>581950</v>
      </c>
    </row>
    <row r="31" spans="2:13">
      <c r="I31" s="49"/>
      <c r="J31" s="79" t="s">
        <v>101</v>
      </c>
      <c r="K31" s="80"/>
      <c r="L31" s="81">
        <f>+L29-L30</f>
        <v>13600</v>
      </c>
      <c r="M31" t="s">
        <v>102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1"/>
  <sheetViews>
    <sheetView topLeftCell="A15" workbookViewId="0">
      <selection activeCell="L29" sqref="L29"/>
    </sheetView>
  </sheetViews>
  <sheetFormatPr defaultRowHeight="15"/>
  <cols>
    <col min="1" max="1" width="2.85546875" customWidth="1"/>
    <col min="2" max="3" width="10.5703125" style="65" bestFit="1" customWidth="1"/>
    <col min="4" max="4" width="10.42578125" style="65" customWidth="1"/>
    <col min="5" max="5" width="2.28515625" style="65" customWidth="1"/>
    <col min="6" max="7" width="9.28515625" style="65" bestFit="1" customWidth="1"/>
    <col min="8" max="8" width="12.5703125" style="65" customWidth="1"/>
    <col min="9" max="9" width="10.28515625" customWidth="1"/>
    <col min="10" max="10" width="12.42578125" customWidth="1"/>
    <col min="11" max="11" width="9" customWidth="1"/>
    <col min="12" max="12" width="11.5703125" style="65" bestFit="1" customWidth="1"/>
  </cols>
  <sheetData>
    <row r="1" spans="2:11">
      <c r="B1" s="65" t="s">
        <v>1</v>
      </c>
      <c r="F1" s="65" t="s">
        <v>51</v>
      </c>
    </row>
    <row r="2" spans="2:11">
      <c r="B2" s="58"/>
      <c r="C2" s="58"/>
      <c r="D2" s="58"/>
      <c r="E2" s="32"/>
      <c r="F2" s="58"/>
      <c r="G2" s="58"/>
      <c r="H2" s="58"/>
    </row>
    <row r="3" spans="2:11">
      <c r="B3" s="58"/>
      <c r="C3" s="58"/>
      <c r="D3" s="58"/>
      <c r="E3" s="32"/>
      <c r="F3" s="58"/>
      <c r="G3" s="58"/>
      <c r="H3" s="58"/>
    </row>
    <row r="4" spans="2:11">
      <c r="B4" s="58"/>
      <c r="C4" s="58"/>
      <c r="D4" s="58"/>
      <c r="E4" s="32"/>
      <c r="F4" s="58"/>
      <c r="G4" s="58"/>
      <c r="H4" s="58"/>
    </row>
    <row r="5" spans="2:11">
      <c r="B5" s="58"/>
      <c r="C5" s="58"/>
      <c r="D5" s="58"/>
      <c r="E5" s="32"/>
      <c r="F5" s="58"/>
      <c r="G5" s="58"/>
      <c r="H5" s="58"/>
      <c r="J5" t="s">
        <v>2</v>
      </c>
    </row>
    <row r="6" spans="2:11">
      <c r="B6" s="58"/>
      <c r="C6" s="58"/>
      <c r="D6" s="58"/>
      <c r="E6" s="32"/>
      <c r="F6" s="58"/>
      <c r="G6" s="58"/>
      <c r="H6" s="58"/>
      <c r="J6" s="58">
        <v>500</v>
      </c>
      <c r="K6" s="71"/>
    </row>
    <row r="7" spans="2:11">
      <c r="B7" s="58"/>
      <c r="C7" s="58"/>
      <c r="D7" s="58"/>
      <c r="E7" s="32"/>
      <c r="F7" s="58"/>
      <c r="G7" s="58"/>
      <c r="H7" s="58"/>
      <c r="J7" s="58">
        <v>400</v>
      </c>
      <c r="K7" s="71"/>
    </row>
    <row r="8" spans="2:11">
      <c r="B8" s="58"/>
      <c r="C8" s="58"/>
      <c r="D8" s="58"/>
      <c r="E8" s="32"/>
      <c r="F8" s="58"/>
      <c r="G8" s="58"/>
      <c r="H8" s="58"/>
      <c r="J8" s="58"/>
      <c r="K8" s="71"/>
    </row>
    <row r="9" spans="2:11">
      <c r="B9" s="58"/>
      <c r="C9" s="58"/>
      <c r="D9" s="58"/>
      <c r="E9" s="32"/>
      <c r="F9" s="58"/>
      <c r="G9" s="58"/>
      <c r="H9" s="58"/>
      <c r="J9" s="58"/>
      <c r="K9" s="71"/>
    </row>
    <row r="10" spans="2:11">
      <c r="B10" s="58"/>
      <c r="C10" s="58"/>
      <c r="D10" s="58"/>
      <c r="E10" s="32"/>
      <c r="F10" s="58"/>
      <c r="G10" s="58"/>
      <c r="H10" s="58"/>
      <c r="J10" s="58"/>
      <c r="K10" s="71"/>
    </row>
    <row r="11" spans="2:11">
      <c r="B11" s="58"/>
      <c r="C11" s="58"/>
      <c r="D11" s="58"/>
      <c r="E11" s="32"/>
      <c r="F11" s="58"/>
      <c r="G11" s="58"/>
      <c r="H11" s="58"/>
      <c r="J11" s="58"/>
      <c r="K11" s="71"/>
    </row>
    <row r="12" spans="2:11">
      <c r="B12" s="58"/>
      <c r="C12" s="58"/>
      <c r="D12" s="58"/>
      <c r="E12" s="32"/>
      <c r="F12" s="58"/>
      <c r="G12" s="58"/>
      <c r="H12" s="58"/>
      <c r="J12" s="58"/>
      <c r="K12" s="71"/>
    </row>
    <row r="13" spans="2:11">
      <c r="B13" s="58"/>
      <c r="C13" s="58"/>
      <c r="D13" s="58"/>
      <c r="E13" s="32"/>
      <c r="F13" s="58"/>
      <c r="G13" s="58"/>
      <c r="H13" s="58"/>
      <c r="J13" s="58"/>
      <c r="K13" s="71"/>
    </row>
    <row r="14" spans="2:11">
      <c r="B14" s="58"/>
      <c r="C14" s="58"/>
      <c r="D14" s="58"/>
      <c r="E14" s="32"/>
      <c r="F14" s="58"/>
      <c r="G14" s="58"/>
      <c r="H14" s="58"/>
      <c r="J14" s="58"/>
      <c r="K14" s="71"/>
    </row>
    <row r="15" spans="2:11">
      <c r="B15" s="58"/>
      <c r="C15" s="58"/>
      <c r="D15" s="58"/>
      <c r="E15" s="32"/>
      <c r="F15" s="58"/>
      <c r="G15" s="58"/>
      <c r="H15" s="58"/>
      <c r="J15" s="58"/>
      <c r="K15" s="71"/>
    </row>
    <row r="16" spans="2:11">
      <c r="B16" s="58"/>
      <c r="C16" s="58"/>
      <c r="D16" s="58"/>
      <c r="E16" s="32"/>
      <c r="F16" s="58"/>
      <c r="G16" s="58"/>
      <c r="H16" s="58"/>
      <c r="J16" s="58"/>
      <c r="K16" s="71"/>
    </row>
    <row r="17" spans="2:13">
      <c r="B17" s="58"/>
      <c r="C17" s="58"/>
      <c r="D17" s="58"/>
      <c r="E17" s="32"/>
      <c r="F17" s="58"/>
      <c r="G17" s="58"/>
      <c r="H17" s="58"/>
      <c r="J17" s="58"/>
      <c r="K17" s="71"/>
    </row>
    <row r="18" spans="2:13">
      <c r="B18" s="58"/>
      <c r="C18" s="58"/>
      <c r="D18" s="58"/>
      <c r="E18" s="32"/>
      <c r="F18" s="58"/>
      <c r="G18" s="58"/>
      <c r="H18" s="58"/>
      <c r="J18" s="58"/>
      <c r="K18" s="71"/>
    </row>
    <row r="19" spans="2:13">
      <c r="B19" s="58"/>
      <c r="C19" s="58"/>
      <c r="D19" s="58"/>
      <c r="E19" s="32"/>
      <c r="F19" s="58"/>
      <c r="G19" s="58"/>
      <c r="H19" s="58"/>
      <c r="J19" s="58"/>
      <c r="K19" s="71"/>
    </row>
    <row r="20" spans="2:13">
      <c r="B20" s="58"/>
      <c r="C20" s="58"/>
      <c r="D20" s="58"/>
      <c r="E20" s="32"/>
      <c r="F20" s="58"/>
      <c r="G20" s="58"/>
      <c r="H20" s="58"/>
      <c r="J20" s="58"/>
      <c r="K20" s="71"/>
    </row>
    <row r="21" spans="2:13">
      <c r="B21" s="58"/>
      <c r="C21" s="58"/>
      <c r="D21" s="58"/>
      <c r="E21" s="32"/>
      <c r="F21" s="58"/>
      <c r="G21" s="58"/>
      <c r="H21" s="58"/>
      <c r="J21" s="58"/>
      <c r="K21" s="71"/>
    </row>
    <row r="22" spans="2:13" ht="15.75" thickBot="1">
      <c r="B22" s="58"/>
      <c r="C22" s="58"/>
      <c r="D22" s="58"/>
      <c r="E22" s="32"/>
      <c r="F22" s="58"/>
      <c r="G22" s="58"/>
      <c r="H22" s="58"/>
      <c r="J22" s="76">
        <f>SUM(J6:J21)</f>
        <v>900</v>
      </c>
      <c r="K22" s="71"/>
    </row>
    <row r="23" spans="2:13" ht="15.75" thickTop="1">
      <c r="B23" s="58"/>
      <c r="C23" s="58"/>
      <c r="D23" s="58"/>
      <c r="E23" s="32"/>
      <c r="F23" s="58"/>
      <c r="G23" s="58"/>
      <c r="H23" s="58"/>
    </row>
    <row r="24" spans="2:13">
      <c r="B24" s="58"/>
      <c r="C24" s="58"/>
      <c r="D24" s="58"/>
      <c r="E24" s="32"/>
      <c r="F24" s="58"/>
      <c r="G24" s="58"/>
      <c r="H24" s="58"/>
      <c r="J24" s="25"/>
      <c r="K24" s="33"/>
    </row>
    <row r="25" spans="2:13" s="65" customFormat="1" ht="15.75" thickBot="1">
      <c r="B25" s="72">
        <f>SUM(B2:B24)</f>
        <v>0</v>
      </c>
      <c r="C25" s="72">
        <f>SUM(C2:C24)</f>
        <v>0</v>
      </c>
      <c r="D25" s="72">
        <f>SUM(D2:D24)</f>
        <v>0</v>
      </c>
      <c r="E25" s="72"/>
      <c r="F25" s="72">
        <f>SUM(F2:F24)</f>
        <v>0</v>
      </c>
      <c r="G25" s="72">
        <f>SUM(G2:G24)</f>
        <v>0</v>
      </c>
      <c r="H25" s="72">
        <f>SUM(H2:H24)</f>
        <v>0</v>
      </c>
      <c r="I25" s="70">
        <f>+D26+H26</f>
        <v>0</v>
      </c>
      <c r="K25" s="4"/>
    </row>
    <row r="26" spans="2:13" ht="15.75" thickTop="1">
      <c r="C26" s="74" t="s">
        <v>1</v>
      </c>
      <c r="D26" s="75">
        <f>SUM(B25:D25)</f>
        <v>0</v>
      </c>
      <c r="E26" s="28"/>
      <c r="F26" s="28"/>
      <c r="G26" s="74" t="s">
        <v>17</v>
      </c>
      <c r="H26" s="75">
        <f>SUM(F25:H25)</f>
        <v>0</v>
      </c>
      <c r="J26" s="79" t="s">
        <v>97</v>
      </c>
      <c r="K26" s="79"/>
      <c r="L26" s="32">
        <f>+D27+H27</f>
        <v>627300</v>
      </c>
    </row>
    <row r="27" spans="2:13">
      <c r="C27" s="65" t="s">
        <v>18</v>
      </c>
      <c r="D27" s="28">
        <v>392550</v>
      </c>
      <c r="G27" s="65" t="s">
        <v>18</v>
      </c>
      <c r="H27" s="65">
        <v>234750</v>
      </c>
      <c r="J27" s="80" t="s">
        <v>100</v>
      </c>
      <c r="K27" s="80"/>
      <c r="L27" s="58">
        <v>55100</v>
      </c>
    </row>
    <row r="28" spans="2:13" ht="15.75" thickBot="1">
      <c r="C28" s="73" t="s">
        <v>5</v>
      </c>
      <c r="D28" s="73">
        <f>+D26-D27</f>
        <v>-392550</v>
      </c>
      <c r="E28" s="73"/>
      <c r="F28" s="73"/>
      <c r="G28" s="73" t="s">
        <v>5</v>
      </c>
      <c r="H28" s="73">
        <f>+H26-H27</f>
        <v>-234750</v>
      </c>
      <c r="J28" s="84" t="s">
        <v>98</v>
      </c>
      <c r="K28" s="84"/>
      <c r="L28" s="85">
        <v>5900</v>
      </c>
    </row>
    <row r="29" spans="2:13" ht="15.75" thickBot="1">
      <c r="J29" s="86" t="s">
        <v>99</v>
      </c>
      <c r="K29" s="86"/>
      <c r="L29" s="87">
        <f>SUM(L26:L28)</f>
        <v>688300</v>
      </c>
    </row>
    <row r="30" spans="2:13" ht="15.75" thickTop="1">
      <c r="J30" s="82" t="s">
        <v>4</v>
      </c>
      <c r="K30" s="82"/>
      <c r="L30" s="83">
        <v>688900</v>
      </c>
    </row>
    <row r="31" spans="2:13">
      <c r="I31" s="49"/>
      <c r="J31" s="79" t="s">
        <v>101</v>
      </c>
      <c r="K31" s="80"/>
      <c r="L31" s="81">
        <f>+L29-L30</f>
        <v>-600</v>
      </c>
      <c r="M31" t="s">
        <v>122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1"/>
  <sheetViews>
    <sheetView topLeftCell="A14" workbookViewId="0">
      <selection activeCell="G21" sqref="G21"/>
    </sheetView>
  </sheetViews>
  <sheetFormatPr defaultRowHeight="15"/>
  <cols>
    <col min="1" max="1" width="2.85546875" customWidth="1"/>
    <col min="2" max="3" width="10.5703125" style="65" bestFit="1" customWidth="1"/>
    <col min="4" max="4" width="10.42578125" style="65" customWidth="1"/>
    <col min="5" max="5" width="2.28515625" style="65" customWidth="1"/>
    <col min="6" max="7" width="9.28515625" style="65" bestFit="1" customWidth="1"/>
    <col min="8" max="8" width="12.5703125" style="65" customWidth="1"/>
    <col min="9" max="9" width="10.28515625" customWidth="1"/>
    <col min="10" max="10" width="12.42578125" customWidth="1"/>
    <col min="11" max="11" width="9" customWidth="1"/>
    <col min="12" max="12" width="11.5703125" style="65" bestFit="1" customWidth="1"/>
  </cols>
  <sheetData>
    <row r="1" spans="2:11">
      <c r="B1" s="65" t="s">
        <v>1</v>
      </c>
      <c r="F1" s="65" t="s">
        <v>51</v>
      </c>
    </row>
    <row r="2" spans="2:11">
      <c r="B2" s="58"/>
      <c r="C2" s="58"/>
      <c r="D2" s="58"/>
      <c r="E2" s="32"/>
      <c r="F2" s="58"/>
      <c r="G2" s="58"/>
      <c r="H2" s="58"/>
    </row>
    <row r="3" spans="2:11">
      <c r="B3" s="58"/>
      <c r="C3" s="58"/>
      <c r="D3" s="58"/>
      <c r="E3" s="32"/>
      <c r="F3" s="58"/>
      <c r="G3" s="58"/>
      <c r="H3" s="58"/>
    </row>
    <row r="4" spans="2:11">
      <c r="B4" s="58"/>
      <c r="C4" s="58"/>
      <c r="D4" s="58"/>
      <c r="E4" s="32"/>
      <c r="F4" s="58"/>
      <c r="G4" s="58"/>
      <c r="H4" s="58"/>
    </row>
    <row r="5" spans="2:11">
      <c r="B5" s="58"/>
      <c r="C5" s="58"/>
      <c r="D5" s="58"/>
      <c r="E5" s="32"/>
      <c r="F5" s="58"/>
      <c r="G5" s="58"/>
      <c r="H5" s="58"/>
      <c r="J5" t="s">
        <v>2</v>
      </c>
    </row>
    <row r="6" spans="2:11">
      <c r="B6" s="58"/>
      <c r="C6" s="58"/>
      <c r="D6" s="58"/>
      <c r="E6" s="32"/>
      <c r="F6" s="58"/>
      <c r="G6" s="58"/>
      <c r="H6" s="58"/>
      <c r="J6" s="58">
        <v>700</v>
      </c>
      <c r="K6" s="91" t="s">
        <v>123</v>
      </c>
    </row>
    <row r="7" spans="2:11">
      <c r="B7" s="58"/>
      <c r="C7" s="58"/>
      <c r="D7" s="58"/>
      <c r="E7" s="32"/>
      <c r="F7" s="58"/>
      <c r="G7" s="58"/>
      <c r="H7" s="58"/>
      <c r="J7" s="58"/>
      <c r="K7" s="71"/>
    </row>
    <row r="8" spans="2:11">
      <c r="B8" s="58"/>
      <c r="C8" s="58"/>
      <c r="D8" s="58"/>
      <c r="E8" s="32"/>
      <c r="F8" s="58"/>
      <c r="G8" s="58"/>
      <c r="H8" s="58"/>
      <c r="J8" s="58"/>
      <c r="K8" s="71"/>
    </row>
    <row r="9" spans="2:11">
      <c r="B9" s="58"/>
      <c r="C9" s="58"/>
      <c r="D9" s="58"/>
      <c r="E9" s="32"/>
      <c r="F9" s="58"/>
      <c r="G9" s="58"/>
      <c r="H9" s="58"/>
      <c r="J9" s="58"/>
      <c r="K9" s="71"/>
    </row>
    <row r="10" spans="2:11">
      <c r="B10" s="58"/>
      <c r="C10" s="58"/>
      <c r="D10" s="58"/>
      <c r="E10" s="32"/>
      <c r="F10" s="58"/>
      <c r="G10" s="58"/>
      <c r="H10" s="58"/>
      <c r="J10" s="58"/>
      <c r="K10" s="71"/>
    </row>
    <row r="11" spans="2:11">
      <c r="B11" s="58"/>
      <c r="C11" s="58"/>
      <c r="D11" s="58"/>
      <c r="E11" s="32"/>
      <c r="F11" s="58"/>
      <c r="G11" s="58"/>
      <c r="H11" s="58"/>
      <c r="J11" s="58"/>
      <c r="K11" s="71"/>
    </row>
    <row r="12" spans="2:11">
      <c r="B12" s="58"/>
      <c r="C12" s="58"/>
      <c r="D12" s="58"/>
      <c r="E12" s="32"/>
      <c r="F12" s="58"/>
      <c r="G12" s="58"/>
      <c r="H12" s="58"/>
      <c r="J12" s="58"/>
      <c r="K12" s="71"/>
    </row>
    <row r="13" spans="2:11">
      <c r="B13" s="58"/>
      <c r="C13" s="58"/>
      <c r="D13" s="58"/>
      <c r="E13" s="32"/>
      <c r="F13" s="58"/>
      <c r="G13" s="58"/>
      <c r="H13" s="58"/>
      <c r="J13" s="58"/>
      <c r="K13" s="71"/>
    </row>
    <row r="14" spans="2:11">
      <c r="B14" s="58"/>
      <c r="C14" s="58"/>
      <c r="D14" s="58"/>
      <c r="E14" s="32"/>
      <c r="F14" s="58"/>
      <c r="G14" s="58"/>
      <c r="H14" s="58"/>
      <c r="J14" s="58"/>
      <c r="K14" s="71"/>
    </row>
    <row r="15" spans="2:11">
      <c r="B15" s="58"/>
      <c r="C15" s="58"/>
      <c r="D15" s="58"/>
      <c r="E15" s="32"/>
      <c r="F15" s="58"/>
      <c r="G15" s="58"/>
      <c r="H15" s="58"/>
      <c r="J15" s="58"/>
      <c r="K15" s="71"/>
    </row>
    <row r="16" spans="2:11">
      <c r="B16" s="58"/>
      <c r="C16" s="58"/>
      <c r="D16" s="58"/>
      <c r="E16" s="32"/>
      <c r="F16" s="58"/>
      <c r="G16" s="58"/>
      <c r="H16" s="58"/>
      <c r="J16" s="58"/>
      <c r="K16" s="71"/>
    </row>
    <row r="17" spans="2:13">
      <c r="B17" s="58"/>
      <c r="C17" s="58"/>
      <c r="D17" s="58"/>
      <c r="E17" s="32"/>
      <c r="F17" s="58"/>
      <c r="G17" s="58"/>
      <c r="H17" s="58"/>
      <c r="J17" s="58"/>
      <c r="K17" s="71"/>
    </row>
    <row r="18" spans="2:13">
      <c r="B18" s="58"/>
      <c r="C18" s="58"/>
      <c r="D18" s="58"/>
      <c r="E18" s="32"/>
      <c r="F18" s="58"/>
      <c r="G18" s="58"/>
      <c r="H18" s="58"/>
      <c r="J18" s="58"/>
      <c r="K18" s="71"/>
    </row>
    <row r="19" spans="2:13">
      <c r="B19" s="58"/>
      <c r="C19" s="58"/>
      <c r="D19" s="58"/>
      <c r="E19" s="32"/>
      <c r="F19" s="58"/>
      <c r="G19" s="58"/>
      <c r="H19" s="58"/>
      <c r="J19" s="58"/>
      <c r="K19" s="71"/>
    </row>
    <row r="20" spans="2:13">
      <c r="B20" s="58"/>
      <c r="C20" s="58"/>
      <c r="D20" s="58"/>
      <c r="E20" s="32"/>
      <c r="F20" s="58"/>
      <c r="G20" s="58"/>
      <c r="H20" s="58"/>
      <c r="J20" s="58"/>
      <c r="K20" s="71"/>
    </row>
    <row r="21" spans="2:13">
      <c r="B21" s="58"/>
      <c r="C21" s="58"/>
      <c r="D21" s="58"/>
      <c r="E21" s="32"/>
      <c r="F21" s="58"/>
      <c r="G21" s="58"/>
      <c r="H21" s="58"/>
      <c r="J21" s="58"/>
      <c r="K21" s="71"/>
    </row>
    <row r="22" spans="2:13" ht="15.75" thickBot="1">
      <c r="B22" s="58"/>
      <c r="C22" s="58"/>
      <c r="D22" s="58"/>
      <c r="E22" s="32"/>
      <c r="F22" s="58"/>
      <c r="G22" s="58"/>
      <c r="H22" s="58"/>
      <c r="J22" s="76">
        <f>SUM(J6:J21)</f>
        <v>700</v>
      </c>
      <c r="K22" s="71"/>
    </row>
    <row r="23" spans="2:13" ht="15.75" thickTop="1">
      <c r="B23" s="58"/>
      <c r="C23" s="58"/>
      <c r="D23" s="58"/>
      <c r="E23" s="32"/>
      <c r="F23" s="58"/>
      <c r="G23" s="58"/>
      <c r="H23" s="58"/>
    </row>
    <row r="24" spans="2:13">
      <c r="B24" s="58"/>
      <c r="C24" s="58"/>
      <c r="D24" s="58"/>
      <c r="E24" s="32"/>
      <c r="F24" s="58"/>
      <c r="G24" s="58"/>
      <c r="H24" s="58"/>
      <c r="J24" s="25"/>
      <c r="K24" s="33"/>
    </row>
    <row r="25" spans="2:13" s="65" customFormat="1" ht="15.75" thickBot="1">
      <c r="B25" s="72">
        <f>SUM(B2:B24)</f>
        <v>0</v>
      </c>
      <c r="C25" s="72">
        <f>SUM(C2:C24)</f>
        <v>0</v>
      </c>
      <c r="D25" s="72">
        <f>SUM(D2:D24)</f>
        <v>0</v>
      </c>
      <c r="E25" s="72"/>
      <c r="F25" s="72">
        <f>SUM(F2:F24)</f>
        <v>0</v>
      </c>
      <c r="G25" s="72">
        <f>SUM(G2:G24)</f>
        <v>0</v>
      </c>
      <c r="H25" s="72">
        <f>SUM(H2:H24)</f>
        <v>0</v>
      </c>
      <c r="I25" s="70">
        <f>+D26+H26</f>
        <v>0</v>
      </c>
      <c r="K25" s="4"/>
    </row>
    <row r="26" spans="2:13" ht="15.75" thickTop="1">
      <c r="C26" s="74" t="s">
        <v>1</v>
      </c>
      <c r="D26" s="75">
        <f>SUM(B25:D25)</f>
        <v>0</v>
      </c>
      <c r="E26" s="28"/>
      <c r="F26" s="28"/>
      <c r="G26" s="74" t="s">
        <v>17</v>
      </c>
      <c r="H26" s="75">
        <f>SUM(F25:H25)</f>
        <v>0</v>
      </c>
      <c r="J26" s="79" t="s">
        <v>97</v>
      </c>
      <c r="K26" s="79"/>
      <c r="L26" s="32">
        <v>684200</v>
      </c>
    </row>
    <row r="27" spans="2:13">
      <c r="C27" s="65" t="s">
        <v>18</v>
      </c>
      <c r="D27" s="28">
        <v>451200</v>
      </c>
      <c r="G27" s="65" t="s">
        <v>18</v>
      </c>
      <c r="H27" s="65">
        <v>233000</v>
      </c>
      <c r="J27" s="80" t="s">
        <v>100</v>
      </c>
      <c r="K27" s="80"/>
      <c r="L27" s="58">
        <v>51500</v>
      </c>
    </row>
    <row r="28" spans="2:13" ht="15.75" thickBot="1">
      <c r="C28" s="73" t="s">
        <v>5</v>
      </c>
      <c r="D28" s="73">
        <f>+D26-D27</f>
        <v>-451200</v>
      </c>
      <c r="E28" s="73"/>
      <c r="F28" s="73"/>
      <c r="G28" s="73" t="s">
        <v>5</v>
      </c>
      <c r="H28" s="73">
        <f>+H26-H27</f>
        <v>-233000</v>
      </c>
      <c r="J28" s="84" t="s">
        <v>98</v>
      </c>
      <c r="K28" s="84"/>
      <c r="L28" s="85"/>
    </row>
    <row r="29" spans="2:13" ht="15.75" thickBot="1">
      <c r="J29" s="86" t="s">
        <v>99</v>
      </c>
      <c r="K29" s="86"/>
      <c r="L29" s="87">
        <f>SUM(L26:L28)</f>
        <v>735700</v>
      </c>
    </row>
    <row r="30" spans="2:13" ht="15.75" thickTop="1">
      <c r="J30" s="82" t="s">
        <v>4</v>
      </c>
      <c r="K30" s="82"/>
      <c r="L30" s="83">
        <v>734850</v>
      </c>
    </row>
    <row r="31" spans="2:13">
      <c r="I31" s="49"/>
      <c r="J31" s="79" t="s">
        <v>101</v>
      </c>
      <c r="K31" s="80"/>
      <c r="L31" s="81">
        <f>+L29-L30</f>
        <v>850</v>
      </c>
      <c r="M31" t="s">
        <v>102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3"/>
  <sheetViews>
    <sheetView topLeftCell="A14" workbookViewId="0">
      <selection activeCell="L29" sqref="L29"/>
    </sheetView>
  </sheetViews>
  <sheetFormatPr defaultRowHeight="15"/>
  <cols>
    <col min="1" max="1" width="2.85546875" customWidth="1"/>
    <col min="2" max="3" width="10.5703125" style="65" bestFit="1" customWidth="1"/>
    <col min="4" max="4" width="10.42578125" style="65" customWidth="1"/>
    <col min="5" max="5" width="2.28515625" style="65" customWidth="1"/>
    <col min="6" max="7" width="9.28515625" style="65" bestFit="1" customWidth="1"/>
    <col min="8" max="8" width="12.5703125" style="65" customWidth="1"/>
    <col min="9" max="9" width="10.28515625" customWidth="1"/>
    <col min="10" max="10" width="13.42578125" customWidth="1"/>
    <col min="11" max="11" width="9" customWidth="1"/>
    <col min="12" max="12" width="11.5703125" style="65" bestFit="1" customWidth="1"/>
  </cols>
  <sheetData>
    <row r="1" spans="2:11">
      <c r="B1" s="65" t="s">
        <v>1</v>
      </c>
      <c r="F1" s="65" t="s">
        <v>51</v>
      </c>
    </row>
    <row r="2" spans="2:11">
      <c r="B2" s="58">
        <v>2000</v>
      </c>
      <c r="C2" s="58">
        <v>9100</v>
      </c>
      <c r="D2" s="58">
        <v>3700</v>
      </c>
      <c r="E2" s="32"/>
      <c r="F2" s="58">
        <v>23100</v>
      </c>
      <c r="G2" s="58">
        <v>15900</v>
      </c>
      <c r="H2" s="58">
        <v>2750</v>
      </c>
    </row>
    <row r="3" spans="2:11">
      <c r="B3" s="58">
        <v>6900</v>
      </c>
      <c r="C3" s="58">
        <v>17100</v>
      </c>
      <c r="D3" s="58">
        <v>800</v>
      </c>
      <c r="E3" s="32"/>
      <c r="F3" s="58">
        <v>2000</v>
      </c>
      <c r="G3" s="58">
        <v>1500</v>
      </c>
      <c r="H3" s="58">
        <v>9200</v>
      </c>
    </row>
    <row r="4" spans="2:11">
      <c r="B4" s="58">
        <v>5300</v>
      </c>
      <c r="C4" s="58">
        <v>2650</v>
      </c>
      <c r="D4" s="58">
        <v>5000</v>
      </c>
      <c r="E4" s="32"/>
      <c r="F4" s="58">
        <v>8100</v>
      </c>
      <c r="G4" s="58">
        <v>7900</v>
      </c>
      <c r="H4" s="58">
        <v>3500</v>
      </c>
    </row>
    <row r="5" spans="2:11">
      <c r="B5" s="58">
        <v>11600</v>
      </c>
      <c r="C5" s="58">
        <v>3700</v>
      </c>
      <c r="D5" s="58">
        <v>13850</v>
      </c>
      <c r="E5" s="32"/>
      <c r="F5" s="58">
        <v>3050</v>
      </c>
      <c r="G5" s="58">
        <v>500</v>
      </c>
      <c r="H5" s="58">
        <v>4700</v>
      </c>
      <c r="J5" t="s">
        <v>2</v>
      </c>
    </row>
    <row r="6" spans="2:11">
      <c r="B6" s="58">
        <v>14000</v>
      </c>
      <c r="C6" s="58">
        <v>3000</v>
      </c>
      <c r="D6" s="58">
        <v>2600</v>
      </c>
      <c r="E6" s="32"/>
      <c r="F6" s="58">
        <v>9300</v>
      </c>
      <c r="G6" s="58">
        <v>3600</v>
      </c>
      <c r="H6" s="58">
        <v>13600</v>
      </c>
      <c r="J6" s="58">
        <v>5500</v>
      </c>
      <c r="K6" s="92" t="s">
        <v>126</v>
      </c>
    </row>
    <row r="7" spans="2:11">
      <c r="B7" s="58">
        <v>7600</v>
      </c>
      <c r="C7" s="58">
        <v>5400</v>
      </c>
      <c r="D7" s="58">
        <v>8200</v>
      </c>
      <c r="E7" s="32"/>
      <c r="F7" s="58">
        <v>10400</v>
      </c>
      <c r="G7" s="58">
        <v>4400</v>
      </c>
      <c r="H7" s="58">
        <v>5600</v>
      </c>
      <c r="J7" s="58">
        <v>3800</v>
      </c>
      <c r="K7" s="92" t="s">
        <v>127</v>
      </c>
    </row>
    <row r="8" spans="2:11">
      <c r="B8" s="58">
        <v>3000</v>
      </c>
      <c r="C8" s="58">
        <v>2000</v>
      </c>
      <c r="D8" s="58"/>
      <c r="E8" s="32"/>
      <c r="F8" s="58">
        <v>8600</v>
      </c>
      <c r="G8" s="58">
        <v>3400</v>
      </c>
      <c r="H8" s="58">
        <v>4100</v>
      </c>
      <c r="J8" s="58">
        <v>7600</v>
      </c>
      <c r="K8" s="100" t="s">
        <v>142</v>
      </c>
    </row>
    <row r="9" spans="2:11">
      <c r="B9" s="58">
        <v>6600</v>
      </c>
      <c r="C9" s="58">
        <v>7000</v>
      </c>
      <c r="D9" s="58"/>
      <c r="E9" s="32"/>
      <c r="F9" s="58">
        <v>900</v>
      </c>
      <c r="G9" s="58">
        <v>5000</v>
      </c>
      <c r="H9" s="58">
        <v>5100</v>
      </c>
      <c r="J9" s="58">
        <v>5000</v>
      </c>
      <c r="K9" s="100" t="s">
        <v>141</v>
      </c>
    </row>
    <row r="10" spans="2:11">
      <c r="B10" s="58">
        <v>3000</v>
      </c>
      <c r="C10" s="58">
        <v>7400</v>
      </c>
      <c r="D10" s="58"/>
      <c r="E10" s="32"/>
      <c r="F10" s="58">
        <v>8800</v>
      </c>
      <c r="G10" s="58">
        <v>4100</v>
      </c>
      <c r="H10" s="58">
        <v>3000</v>
      </c>
      <c r="J10" s="58">
        <v>4700</v>
      </c>
      <c r="K10" s="100" t="s">
        <v>143</v>
      </c>
    </row>
    <row r="11" spans="2:11">
      <c r="B11" s="58">
        <v>8400</v>
      </c>
      <c r="C11" s="58">
        <v>2700</v>
      </c>
      <c r="D11" s="58"/>
      <c r="E11" s="32"/>
      <c r="F11" s="58">
        <v>8800</v>
      </c>
      <c r="G11" s="58">
        <v>3000</v>
      </c>
      <c r="H11" s="58">
        <v>2500</v>
      </c>
      <c r="J11" s="58"/>
      <c r="K11" s="92"/>
    </row>
    <row r="12" spans="2:11">
      <c r="B12" s="58">
        <v>3800</v>
      </c>
      <c r="C12" s="58">
        <v>2800</v>
      </c>
      <c r="D12" s="58"/>
      <c r="E12" s="32"/>
      <c r="F12" s="58">
        <v>2000</v>
      </c>
      <c r="G12" s="58">
        <v>2800</v>
      </c>
      <c r="H12" s="58">
        <v>13500</v>
      </c>
      <c r="J12" s="58"/>
      <c r="K12" s="92"/>
    </row>
    <row r="13" spans="2:11">
      <c r="B13" s="58">
        <v>10000</v>
      </c>
      <c r="C13" s="58">
        <v>1500</v>
      </c>
      <c r="D13" s="58"/>
      <c r="E13" s="32"/>
      <c r="F13" s="58">
        <v>5100</v>
      </c>
      <c r="G13" s="58">
        <v>1500</v>
      </c>
      <c r="H13" s="58">
        <v>6050</v>
      </c>
      <c r="J13" s="58"/>
      <c r="K13" s="92"/>
    </row>
    <row r="14" spans="2:11">
      <c r="B14" s="58">
        <v>2000</v>
      </c>
      <c r="C14" s="58">
        <v>7100</v>
      </c>
      <c r="D14" s="58"/>
      <c r="E14" s="32"/>
      <c r="F14" s="58">
        <v>5900</v>
      </c>
      <c r="G14" s="58">
        <v>14700</v>
      </c>
      <c r="H14" s="58">
        <v>22000</v>
      </c>
      <c r="J14" s="58"/>
      <c r="K14" s="92"/>
    </row>
    <row r="15" spans="2:11">
      <c r="B15" s="58">
        <v>2200</v>
      </c>
      <c r="C15" s="58">
        <v>1100</v>
      </c>
      <c r="D15" s="58"/>
      <c r="E15" s="32"/>
      <c r="F15" s="58">
        <v>6500</v>
      </c>
      <c r="G15" s="58">
        <v>1500</v>
      </c>
      <c r="H15" s="58">
        <v>9000</v>
      </c>
      <c r="J15" s="58"/>
      <c r="K15" s="92"/>
    </row>
    <row r="16" spans="2:11">
      <c r="B16" s="58">
        <v>1500</v>
      </c>
      <c r="C16" s="58">
        <v>9300</v>
      </c>
      <c r="D16" s="58"/>
      <c r="E16" s="32"/>
      <c r="F16" s="58">
        <v>3600</v>
      </c>
      <c r="G16" s="58">
        <v>3500</v>
      </c>
      <c r="H16" s="58"/>
      <c r="J16" s="58"/>
      <c r="K16" s="92"/>
    </row>
    <row r="17" spans="2:14">
      <c r="B17" s="58">
        <v>2500</v>
      </c>
      <c r="C17" s="58">
        <v>8400</v>
      </c>
      <c r="D17" s="58"/>
      <c r="E17" s="32"/>
      <c r="F17" s="58">
        <v>6500</v>
      </c>
      <c r="G17" s="58">
        <v>3700</v>
      </c>
      <c r="H17" s="58"/>
      <c r="J17" s="58"/>
      <c r="K17" s="92"/>
    </row>
    <row r="18" spans="2:14">
      <c r="B18" s="58">
        <v>2000</v>
      </c>
      <c r="C18" s="58">
        <v>2400</v>
      </c>
      <c r="D18" s="58"/>
      <c r="E18" s="32"/>
      <c r="F18" s="58">
        <v>3000</v>
      </c>
      <c r="G18" s="58">
        <v>5600</v>
      </c>
      <c r="H18" s="58"/>
      <c r="J18" s="58"/>
      <c r="K18" s="92"/>
    </row>
    <row r="19" spans="2:14">
      <c r="B19" s="58">
        <v>2500</v>
      </c>
      <c r="C19" s="58">
        <v>3100</v>
      </c>
      <c r="D19" s="58"/>
      <c r="E19" s="32"/>
      <c r="F19" s="58">
        <v>24000</v>
      </c>
      <c r="G19" s="58">
        <v>2000</v>
      </c>
      <c r="H19" s="58"/>
      <c r="J19" s="58"/>
      <c r="K19" s="92"/>
    </row>
    <row r="20" spans="2:14">
      <c r="B20" s="58">
        <v>3000</v>
      </c>
      <c r="C20" s="58">
        <v>11500</v>
      </c>
      <c r="D20" s="58"/>
      <c r="E20" s="32"/>
      <c r="F20" s="58">
        <v>1100</v>
      </c>
      <c r="G20" s="58">
        <v>1900</v>
      </c>
      <c r="H20" s="58"/>
      <c r="J20" s="58"/>
      <c r="K20" s="92"/>
    </row>
    <row r="21" spans="2:14">
      <c r="B21" s="58">
        <v>4200</v>
      </c>
      <c r="C21" s="58">
        <v>18700</v>
      </c>
      <c r="D21" s="58"/>
      <c r="E21" s="32"/>
      <c r="F21" s="58">
        <v>2000</v>
      </c>
      <c r="G21" s="58">
        <v>9200</v>
      </c>
      <c r="H21" s="58"/>
      <c r="J21" s="58"/>
      <c r="K21" s="92"/>
    </row>
    <row r="22" spans="2:14" ht="15.75" thickBot="1">
      <c r="B22" s="58">
        <v>1800</v>
      </c>
      <c r="C22" s="58">
        <v>5200</v>
      </c>
      <c r="D22" s="58"/>
      <c r="E22" s="32"/>
      <c r="F22" s="58">
        <v>7500</v>
      </c>
      <c r="G22" s="58">
        <v>2000</v>
      </c>
      <c r="H22" s="58"/>
      <c r="J22" s="76">
        <f>SUM(J6:J21)</f>
        <v>26600</v>
      </c>
      <c r="K22" s="92"/>
    </row>
    <row r="23" spans="2:14" ht="15.75" thickTop="1">
      <c r="B23" s="58">
        <v>3800</v>
      </c>
      <c r="C23" s="58">
        <v>4000</v>
      </c>
      <c r="D23" s="58"/>
      <c r="E23" s="32"/>
      <c r="F23" s="58">
        <v>3000</v>
      </c>
      <c r="G23" s="58">
        <v>6400</v>
      </c>
      <c r="H23" s="58"/>
    </row>
    <row r="24" spans="2:14">
      <c r="B24" s="58">
        <v>1250</v>
      </c>
      <c r="C24" s="58">
        <v>14200</v>
      </c>
      <c r="D24" s="58"/>
      <c r="E24" s="32"/>
      <c r="F24" s="58"/>
      <c r="G24" s="58"/>
      <c r="H24" s="58"/>
      <c r="J24" s="25"/>
      <c r="K24" s="33"/>
      <c r="M24" s="49"/>
    </row>
    <row r="25" spans="2:14" s="65" customFormat="1" ht="15.75" thickBot="1">
      <c r="B25" s="72">
        <f>SUM(B2:B24)</f>
        <v>108950</v>
      </c>
      <c r="C25" s="72">
        <f>SUM(C2:C24)</f>
        <v>149350</v>
      </c>
      <c r="D25" s="72">
        <f>SUM(D2:D24)</f>
        <v>34150</v>
      </c>
      <c r="E25" s="72"/>
      <c r="F25" s="72">
        <f>SUM(F2:F24)</f>
        <v>153250</v>
      </c>
      <c r="G25" s="72">
        <f>SUM(G2:G24)</f>
        <v>104100</v>
      </c>
      <c r="H25" s="72">
        <f>SUM(H2:H24)</f>
        <v>104600</v>
      </c>
      <c r="I25" s="70">
        <f>+D26+H26</f>
        <v>654400</v>
      </c>
      <c r="K25" s="4"/>
      <c r="L25" s="98" t="s">
        <v>18</v>
      </c>
      <c r="M25" s="98" t="s">
        <v>129</v>
      </c>
    </row>
    <row r="26" spans="2:14" ht="15.75" thickTop="1">
      <c r="C26" s="74" t="s">
        <v>1</v>
      </c>
      <c r="D26" s="75">
        <f>SUM(B25:D25)</f>
        <v>292450</v>
      </c>
      <c r="E26" s="28"/>
      <c r="F26" s="28"/>
      <c r="G26" s="74" t="s">
        <v>17</v>
      </c>
      <c r="H26" s="75">
        <f>SUM(F25:H25)</f>
        <v>361950</v>
      </c>
      <c r="J26" s="79" t="s">
        <v>97</v>
      </c>
      <c r="K26" s="79"/>
      <c r="L26" s="32">
        <f>+D27+H27</f>
        <v>818650</v>
      </c>
      <c r="M26" s="32">
        <f>+I25</f>
        <v>654400</v>
      </c>
    </row>
    <row r="27" spans="2:14">
      <c r="C27" s="65" t="s">
        <v>18</v>
      </c>
      <c r="D27" s="28">
        <v>442750</v>
      </c>
      <c r="G27" s="65" t="s">
        <v>18</v>
      </c>
      <c r="H27" s="65">
        <v>375900</v>
      </c>
      <c r="J27" s="80" t="s">
        <v>128</v>
      </c>
      <c r="K27" s="80"/>
      <c r="L27" s="58">
        <f>-23800-126500</f>
        <v>-150300</v>
      </c>
      <c r="M27" s="58"/>
    </row>
    <row r="28" spans="2:14">
      <c r="C28" s="73" t="s">
        <v>5</v>
      </c>
      <c r="D28" s="73">
        <f>+D26-D27</f>
        <v>-150300</v>
      </c>
      <c r="E28" s="73"/>
      <c r="F28" s="73"/>
      <c r="G28" s="73" t="s">
        <v>5</v>
      </c>
      <c r="H28" s="73">
        <f>+H26-H27</f>
        <v>-13950</v>
      </c>
      <c r="J28" s="80" t="s">
        <v>100</v>
      </c>
      <c r="K28" s="80"/>
      <c r="L28" s="58">
        <f>64600+26600</f>
        <v>91200</v>
      </c>
      <c r="M28" s="58">
        <v>91200</v>
      </c>
    </row>
    <row r="29" spans="2:14" ht="15.75" thickBot="1">
      <c r="J29" s="84" t="s">
        <v>98</v>
      </c>
      <c r="K29" s="84"/>
      <c r="L29" s="85">
        <v>-7400</v>
      </c>
      <c r="M29" s="85"/>
    </row>
    <row r="30" spans="2:14" ht="15.75" thickBot="1">
      <c r="J30" s="93" t="s">
        <v>99</v>
      </c>
      <c r="K30" s="93"/>
      <c r="L30" s="94">
        <f>SUM(L26:L29)</f>
        <v>752150</v>
      </c>
      <c r="M30" s="94">
        <f>SUM(M26:M29)</f>
        <v>745600</v>
      </c>
    </row>
    <row r="31" spans="2:14" ht="15.75" thickTop="1">
      <c r="I31" s="49"/>
      <c r="J31" s="82" t="s">
        <v>4</v>
      </c>
      <c r="K31" s="82"/>
      <c r="L31" s="83">
        <v>755400</v>
      </c>
      <c r="M31" s="83">
        <v>755400</v>
      </c>
    </row>
    <row r="32" spans="2:14" ht="15.75" thickBot="1">
      <c r="J32" s="95" t="s">
        <v>101</v>
      </c>
      <c r="K32" s="96"/>
      <c r="L32" s="97">
        <f>+L30-L31</f>
        <v>-3250</v>
      </c>
      <c r="M32" s="97">
        <f>+M30-M31</f>
        <v>-9800</v>
      </c>
      <c r="N32" t="s">
        <v>39</v>
      </c>
    </row>
    <row r="33" ht="15.75" thickTop="1"/>
  </sheetData>
  <pageMargins left="0.7" right="0.7" top="0.75" bottom="0.75" header="0.3" footer="0.3"/>
  <pageSetup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3"/>
  <sheetViews>
    <sheetView topLeftCell="A12" workbookViewId="0">
      <selection activeCell="O32" sqref="O32"/>
    </sheetView>
  </sheetViews>
  <sheetFormatPr defaultRowHeight="15"/>
  <cols>
    <col min="1" max="1" width="2.85546875" customWidth="1"/>
    <col min="2" max="3" width="10.5703125" style="65" bestFit="1" customWidth="1"/>
    <col min="4" max="4" width="10.42578125" style="65" customWidth="1"/>
    <col min="5" max="5" width="2.28515625" style="65" customWidth="1"/>
    <col min="6" max="7" width="9.28515625" style="65" bestFit="1" customWidth="1"/>
    <col min="8" max="8" width="12.5703125" style="65" customWidth="1"/>
    <col min="9" max="9" width="10.28515625" customWidth="1"/>
    <col min="10" max="10" width="13.42578125" customWidth="1"/>
    <col min="11" max="11" width="9" customWidth="1"/>
    <col min="12" max="12" width="11.5703125" style="65" bestFit="1" customWidth="1"/>
  </cols>
  <sheetData>
    <row r="1" spans="2:11">
      <c r="B1" s="65" t="s">
        <v>1</v>
      </c>
      <c r="F1" s="65" t="s">
        <v>51</v>
      </c>
    </row>
    <row r="3" spans="2:11">
      <c r="B3" s="58"/>
      <c r="C3" s="58"/>
      <c r="D3" s="58"/>
      <c r="E3" s="32"/>
      <c r="F3" s="58"/>
      <c r="G3" s="58"/>
      <c r="H3" s="58"/>
    </row>
    <row r="4" spans="2:11">
      <c r="B4" s="58"/>
      <c r="C4" s="58"/>
      <c r="D4" s="58"/>
      <c r="E4" s="32"/>
      <c r="F4" s="58"/>
      <c r="G4" s="58"/>
      <c r="H4" s="58"/>
    </row>
    <row r="5" spans="2:11">
      <c r="B5" s="58"/>
      <c r="C5" s="58"/>
      <c r="D5" s="58"/>
      <c r="E5" s="32"/>
      <c r="F5" s="58"/>
      <c r="G5" s="58"/>
      <c r="H5" s="58"/>
      <c r="J5" t="s">
        <v>2</v>
      </c>
    </row>
    <row r="6" spans="2:11">
      <c r="B6" s="58"/>
      <c r="C6" s="58"/>
      <c r="D6" s="58"/>
      <c r="E6" s="32"/>
      <c r="F6" s="58"/>
      <c r="G6" s="58"/>
      <c r="H6" s="58"/>
      <c r="J6" s="58"/>
    </row>
    <row r="7" spans="2:11">
      <c r="B7" s="58"/>
      <c r="C7" s="58"/>
      <c r="D7" s="58"/>
      <c r="E7" s="32"/>
      <c r="F7" s="58"/>
      <c r="G7" s="58"/>
      <c r="H7" s="58"/>
      <c r="J7" s="58"/>
      <c r="K7" s="92"/>
    </row>
    <row r="8" spans="2:11">
      <c r="B8" s="58"/>
      <c r="C8" s="58"/>
      <c r="D8" s="58"/>
      <c r="E8" s="32"/>
      <c r="F8" s="58"/>
      <c r="G8" s="58"/>
      <c r="H8" s="58"/>
      <c r="J8" s="58"/>
      <c r="K8" s="92"/>
    </row>
    <row r="9" spans="2:11">
      <c r="B9" s="58"/>
      <c r="C9" s="58"/>
      <c r="D9" s="58"/>
      <c r="E9" s="32"/>
      <c r="F9" s="58"/>
      <c r="G9" s="58"/>
      <c r="H9" s="58"/>
      <c r="J9" s="58"/>
      <c r="K9" s="92"/>
    </row>
    <row r="10" spans="2:11">
      <c r="B10" s="58"/>
      <c r="C10" s="58"/>
      <c r="D10" s="58"/>
      <c r="E10" s="32"/>
      <c r="F10" s="58"/>
      <c r="G10" s="58"/>
      <c r="H10" s="58"/>
      <c r="J10" s="58"/>
      <c r="K10" s="92"/>
    </row>
    <row r="11" spans="2:11">
      <c r="B11" s="58"/>
      <c r="C11" s="58"/>
      <c r="D11" s="58"/>
      <c r="E11" s="32"/>
      <c r="F11" s="58"/>
      <c r="G11" s="58"/>
      <c r="H11" s="58"/>
      <c r="J11" s="58"/>
      <c r="K11" s="92"/>
    </row>
    <row r="12" spans="2:11">
      <c r="B12" s="58"/>
      <c r="C12" s="58"/>
      <c r="D12" s="58"/>
      <c r="E12" s="32"/>
      <c r="F12" s="58"/>
      <c r="G12" s="58"/>
      <c r="H12" s="58"/>
      <c r="J12" s="58"/>
      <c r="K12" s="92"/>
    </row>
    <row r="13" spans="2:11">
      <c r="B13" s="58"/>
      <c r="C13" s="58"/>
      <c r="D13" s="58"/>
      <c r="E13" s="32"/>
      <c r="F13" s="58"/>
      <c r="G13" s="58"/>
      <c r="H13" s="58"/>
      <c r="J13" s="58"/>
      <c r="K13" s="92"/>
    </row>
    <row r="14" spans="2:11">
      <c r="B14" s="58"/>
      <c r="C14" s="58"/>
      <c r="D14" s="58"/>
      <c r="E14" s="32"/>
      <c r="F14" s="58"/>
      <c r="G14" s="58"/>
      <c r="H14" s="58"/>
      <c r="J14" s="58"/>
      <c r="K14" s="92"/>
    </row>
    <row r="15" spans="2:11">
      <c r="B15" s="58"/>
      <c r="C15" s="58"/>
      <c r="D15" s="58"/>
      <c r="E15" s="32"/>
      <c r="F15" s="58"/>
      <c r="G15" s="58"/>
      <c r="H15" s="58"/>
      <c r="J15" s="58"/>
      <c r="K15" s="92"/>
    </row>
    <row r="16" spans="2:11">
      <c r="B16" s="58"/>
      <c r="C16" s="58"/>
      <c r="D16" s="58"/>
      <c r="E16" s="32"/>
      <c r="F16" s="58"/>
      <c r="G16" s="58"/>
      <c r="H16" s="58"/>
      <c r="J16" s="58"/>
      <c r="K16" s="92"/>
    </row>
    <row r="17" spans="2:14">
      <c r="B17" s="58"/>
      <c r="C17" s="58"/>
      <c r="D17" s="58"/>
      <c r="E17" s="32"/>
      <c r="F17" s="58"/>
      <c r="G17" s="58"/>
      <c r="H17" s="58"/>
      <c r="J17" s="58"/>
      <c r="K17" s="92"/>
    </row>
    <row r="18" spans="2:14">
      <c r="B18" s="58"/>
      <c r="C18" s="58"/>
      <c r="D18" s="58"/>
      <c r="E18" s="32"/>
      <c r="F18" s="58"/>
      <c r="G18" s="58"/>
      <c r="H18" s="58"/>
      <c r="J18" s="58"/>
      <c r="K18" s="92"/>
    </row>
    <row r="19" spans="2:14">
      <c r="B19" s="58"/>
      <c r="C19" s="58"/>
      <c r="D19" s="58"/>
      <c r="E19" s="32"/>
      <c r="F19" s="58"/>
      <c r="G19" s="58"/>
      <c r="H19" s="58"/>
      <c r="J19" s="58"/>
      <c r="K19" s="92"/>
    </row>
    <row r="20" spans="2:14">
      <c r="B20" s="58"/>
      <c r="C20" s="58"/>
      <c r="D20" s="58"/>
      <c r="E20" s="32"/>
      <c r="F20" s="58"/>
      <c r="G20" s="58"/>
      <c r="H20" s="58"/>
      <c r="J20" s="58"/>
      <c r="K20" s="92"/>
    </row>
    <row r="21" spans="2:14">
      <c r="B21" s="58"/>
      <c r="C21" s="58"/>
      <c r="D21" s="58"/>
      <c r="E21" s="32"/>
      <c r="F21" s="58"/>
      <c r="G21" s="58"/>
      <c r="H21" s="58"/>
      <c r="J21" s="58"/>
      <c r="K21" s="92"/>
    </row>
    <row r="22" spans="2:14" ht="15.75" thickBot="1">
      <c r="B22" s="58"/>
      <c r="C22" s="58"/>
      <c r="D22" s="58"/>
      <c r="E22" s="32"/>
      <c r="F22" s="58"/>
      <c r="G22" s="58"/>
      <c r="H22" s="58"/>
      <c r="J22" s="76">
        <f>SUM(J6:J21)</f>
        <v>0</v>
      </c>
      <c r="K22" s="92"/>
    </row>
    <row r="23" spans="2:14" ht="15.75" thickTop="1">
      <c r="B23" s="58"/>
      <c r="C23" s="58"/>
      <c r="D23" s="58"/>
      <c r="E23" s="32"/>
      <c r="F23" s="58"/>
      <c r="G23" s="58"/>
      <c r="H23" s="58"/>
    </row>
    <row r="24" spans="2:14">
      <c r="B24" s="58"/>
      <c r="C24" s="58"/>
      <c r="D24" s="58"/>
      <c r="E24" s="32"/>
      <c r="F24" s="58"/>
      <c r="G24" s="58"/>
      <c r="H24" s="58"/>
      <c r="J24" s="25"/>
      <c r="K24" s="33"/>
      <c r="M24" s="49"/>
    </row>
    <row r="25" spans="2:14" s="65" customFormat="1" ht="15.75" thickBot="1">
      <c r="B25" s="72">
        <f>SUM(B3:B24)</f>
        <v>0</v>
      </c>
      <c r="C25" s="72">
        <f>SUM(C3:C24)</f>
        <v>0</v>
      </c>
      <c r="D25" s="72">
        <f>SUM(D3:D24)</f>
        <v>0</v>
      </c>
      <c r="E25" s="72"/>
      <c r="F25" s="72">
        <f>SUM(F3:F24)</f>
        <v>0</v>
      </c>
      <c r="G25" s="72">
        <f>SUM(G3:G24)</f>
        <v>0</v>
      </c>
      <c r="H25" s="72">
        <f>SUM(H3:H24)</f>
        <v>0</v>
      </c>
      <c r="I25" s="70">
        <f>+D26+H26</f>
        <v>0</v>
      </c>
      <c r="K25" s="4"/>
      <c r="L25" s="98" t="s">
        <v>18</v>
      </c>
      <c r="M25" s="98" t="s">
        <v>129</v>
      </c>
    </row>
    <row r="26" spans="2:14" ht="15.75" thickTop="1">
      <c r="C26" s="74" t="s">
        <v>1</v>
      </c>
      <c r="D26" s="75">
        <f>SUM(B25:D25)</f>
        <v>0</v>
      </c>
      <c r="E26" s="28"/>
      <c r="F26" s="28"/>
      <c r="G26" s="74" t="s">
        <v>17</v>
      </c>
      <c r="H26" s="75">
        <f>SUM(F25:H25)</f>
        <v>0</v>
      </c>
      <c r="J26" s="79" t="s">
        <v>97</v>
      </c>
      <c r="K26" s="79"/>
      <c r="L26" s="32">
        <f>+D27+H27</f>
        <v>676600</v>
      </c>
      <c r="M26" s="32">
        <f>+I25</f>
        <v>0</v>
      </c>
    </row>
    <row r="27" spans="2:14">
      <c r="C27" s="65" t="s">
        <v>18</v>
      </c>
      <c r="D27" s="28">
        <v>641450</v>
      </c>
      <c r="G27" s="65" t="s">
        <v>18</v>
      </c>
      <c r="H27" s="65">
        <v>35150</v>
      </c>
      <c r="J27" s="80" t="s">
        <v>128</v>
      </c>
      <c r="K27" s="80"/>
      <c r="L27" s="58"/>
      <c r="M27" s="58"/>
    </row>
    <row r="28" spans="2:14">
      <c r="C28" s="73" t="s">
        <v>5</v>
      </c>
      <c r="D28" s="73">
        <f>+D26-D27</f>
        <v>-641450</v>
      </c>
      <c r="E28" s="73"/>
      <c r="F28" s="73"/>
      <c r="G28" s="73" t="s">
        <v>5</v>
      </c>
      <c r="H28" s="73">
        <f>+H26-H27</f>
        <v>-35150</v>
      </c>
      <c r="J28" s="80" t="s">
        <v>100</v>
      </c>
      <c r="K28" s="80"/>
      <c r="L28" s="58">
        <v>43750</v>
      </c>
      <c r="M28" s="58"/>
    </row>
    <row r="29" spans="2:14" ht="15.75" thickBot="1">
      <c r="J29" s="84" t="s">
        <v>98</v>
      </c>
      <c r="K29" s="84"/>
      <c r="L29" s="85"/>
      <c r="M29" s="85"/>
    </row>
    <row r="30" spans="2:14" ht="15.75" thickBot="1">
      <c r="J30" s="93" t="s">
        <v>99</v>
      </c>
      <c r="K30" s="93"/>
      <c r="L30" s="94">
        <f>SUM(L26:L29)</f>
        <v>720350</v>
      </c>
      <c r="M30" s="94">
        <f>SUM(M26:M29)</f>
        <v>0</v>
      </c>
    </row>
    <row r="31" spans="2:14" ht="15.75" thickTop="1">
      <c r="I31" s="49"/>
      <c r="J31" s="82" t="s">
        <v>4</v>
      </c>
      <c r="K31" s="82"/>
      <c r="L31" s="83">
        <v>718950</v>
      </c>
      <c r="M31" s="83"/>
    </row>
    <row r="32" spans="2:14" ht="15.75" thickBot="1">
      <c r="J32" s="95" t="s">
        <v>101</v>
      </c>
      <c r="K32" s="96"/>
      <c r="L32" s="97">
        <f>+L30-L31</f>
        <v>1400</v>
      </c>
      <c r="M32" s="97">
        <f>+M30-M31</f>
        <v>0</v>
      </c>
      <c r="N32" t="s">
        <v>130</v>
      </c>
    </row>
    <row r="33" ht="15.75" thickTop="1"/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3"/>
  <sheetViews>
    <sheetView topLeftCell="A12" workbookViewId="0">
      <selection activeCell="N11" sqref="N11"/>
    </sheetView>
  </sheetViews>
  <sheetFormatPr defaultRowHeight="15"/>
  <cols>
    <col min="1" max="1" width="2.85546875" customWidth="1"/>
    <col min="2" max="3" width="10.5703125" style="65" bestFit="1" customWidth="1"/>
    <col min="4" max="4" width="10.42578125" style="65" customWidth="1"/>
    <col min="5" max="5" width="2.28515625" style="65" customWidth="1"/>
    <col min="6" max="7" width="9.28515625" style="65" bestFit="1" customWidth="1"/>
    <col min="8" max="8" width="12.5703125" style="65" customWidth="1"/>
    <col min="9" max="9" width="10.28515625" customWidth="1"/>
    <col min="10" max="10" width="13.42578125" customWidth="1"/>
    <col min="11" max="11" width="9" customWidth="1"/>
    <col min="12" max="12" width="11.5703125" style="65" bestFit="1" customWidth="1"/>
  </cols>
  <sheetData>
    <row r="1" spans="2:11">
      <c r="B1" s="65" t="s">
        <v>1</v>
      </c>
      <c r="F1" s="65" t="s">
        <v>51</v>
      </c>
    </row>
    <row r="3" spans="2:11">
      <c r="B3" s="58"/>
      <c r="C3" s="58"/>
      <c r="D3" s="58"/>
      <c r="E3" s="32"/>
      <c r="F3" s="58"/>
      <c r="G3" s="58"/>
      <c r="H3" s="58"/>
    </row>
    <row r="4" spans="2:11">
      <c r="B4" s="58"/>
      <c r="C4" s="58"/>
      <c r="D4" s="58"/>
      <c r="E4" s="32"/>
      <c r="F4" s="58"/>
      <c r="G4" s="58"/>
      <c r="H4" s="58"/>
    </row>
    <row r="5" spans="2:11">
      <c r="B5" s="58"/>
      <c r="C5" s="58"/>
      <c r="D5" s="58"/>
      <c r="E5" s="32"/>
      <c r="F5" s="58"/>
      <c r="G5" s="58"/>
      <c r="H5" s="58"/>
      <c r="J5" t="s">
        <v>2</v>
      </c>
    </row>
    <row r="6" spans="2:11">
      <c r="B6" s="58"/>
      <c r="C6" s="58"/>
      <c r="D6" s="58"/>
      <c r="E6" s="32"/>
      <c r="F6" s="58"/>
      <c r="G6" s="58"/>
      <c r="H6" s="58"/>
      <c r="J6" s="58">
        <v>3000</v>
      </c>
      <c r="K6" t="s">
        <v>145</v>
      </c>
    </row>
    <row r="7" spans="2:11">
      <c r="B7" s="58"/>
      <c r="C7" s="58"/>
      <c r="D7" s="58"/>
      <c r="E7" s="32"/>
      <c r="F7" s="58"/>
      <c r="G7" s="58"/>
      <c r="H7" s="58"/>
      <c r="J7" s="58"/>
      <c r="K7" s="100"/>
    </row>
    <row r="8" spans="2:11">
      <c r="B8" s="58"/>
      <c r="C8" s="58"/>
      <c r="D8" s="58"/>
      <c r="E8" s="32"/>
      <c r="F8" s="58"/>
      <c r="G8" s="58"/>
      <c r="H8" s="58"/>
      <c r="J8" s="58"/>
      <c r="K8" s="100"/>
    </row>
    <row r="9" spans="2:11">
      <c r="B9" s="58"/>
      <c r="C9" s="58"/>
      <c r="D9" s="58"/>
      <c r="E9" s="32"/>
      <c r="F9" s="58"/>
      <c r="G9" s="58"/>
      <c r="H9" s="58"/>
      <c r="J9" s="58"/>
      <c r="K9" s="100"/>
    </row>
    <row r="10" spans="2:11">
      <c r="B10" s="58"/>
      <c r="C10" s="58"/>
      <c r="D10" s="58"/>
      <c r="E10" s="32"/>
      <c r="F10" s="58"/>
      <c r="G10" s="58"/>
      <c r="H10" s="58"/>
      <c r="J10" s="58"/>
      <c r="K10" s="100"/>
    </row>
    <row r="11" spans="2:11">
      <c r="B11" s="58"/>
      <c r="C11" s="58"/>
      <c r="D11" s="58"/>
      <c r="E11" s="32"/>
      <c r="F11" s="58"/>
      <c r="G11" s="58"/>
      <c r="H11" s="58"/>
      <c r="J11" s="58"/>
      <c r="K11" s="100"/>
    </row>
    <row r="12" spans="2:11">
      <c r="B12" s="58"/>
      <c r="C12" s="58"/>
      <c r="D12" s="58"/>
      <c r="E12" s="32"/>
      <c r="F12" s="58"/>
      <c r="G12" s="58"/>
      <c r="H12" s="58"/>
      <c r="J12" s="58"/>
      <c r="K12" s="100"/>
    </row>
    <row r="13" spans="2:11">
      <c r="B13" s="58"/>
      <c r="C13" s="58"/>
      <c r="D13" s="58"/>
      <c r="E13" s="32"/>
      <c r="F13" s="58"/>
      <c r="G13" s="58"/>
      <c r="H13" s="58"/>
      <c r="J13" s="58"/>
      <c r="K13" s="100"/>
    </row>
    <row r="14" spans="2:11">
      <c r="B14" s="58"/>
      <c r="C14" s="58"/>
      <c r="D14" s="58"/>
      <c r="E14" s="32"/>
      <c r="F14" s="58"/>
      <c r="G14" s="58"/>
      <c r="H14" s="58"/>
      <c r="J14" s="58"/>
      <c r="K14" s="100"/>
    </row>
    <row r="15" spans="2:11">
      <c r="B15" s="58"/>
      <c r="C15" s="58"/>
      <c r="D15" s="58"/>
      <c r="E15" s="32"/>
      <c r="F15" s="58"/>
      <c r="G15" s="58"/>
      <c r="H15" s="58"/>
      <c r="J15" s="58"/>
      <c r="K15" s="100"/>
    </row>
    <row r="16" spans="2:11">
      <c r="B16" s="58"/>
      <c r="C16" s="58"/>
      <c r="D16" s="58"/>
      <c r="E16" s="32"/>
      <c r="F16" s="58"/>
      <c r="G16" s="58"/>
      <c r="H16" s="58"/>
      <c r="J16" s="58"/>
      <c r="K16" s="100"/>
    </row>
    <row r="17" spans="2:14">
      <c r="B17" s="58"/>
      <c r="C17" s="58"/>
      <c r="D17" s="58"/>
      <c r="E17" s="32"/>
      <c r="F17" s="58"/>
      <c r="G17" s="58"/>
      <c r="H17" s="58"/>
      <c r="J17" s="58"/>
      <c r="K17" s="100"/>
    </row>
    <row r="18" spans="2:14">
      <c r="B18" s="58"/>
      <c r="C18" s="58"/>
      <c r="D18" s="58"/>
      <c r="E18" s="32"/>
      <c r="F18" s="58"/>
      <c r="G18" s="58"/>
      <c r="H18" s="58"/>
      <c r="J18" s="58"/>
      <c r="K18" s="100"/>
    </row>
    <row r="19" spans="2:14">
      <c r="B19" s="58"/>
      <c r="C19" s="58"/>
      <c r="D19" s="58"/>
      <c r="E19" s="32"/>
      <c r="F19" s="58"/>
      <c r="G19" s="58"/>
      <c r="H19" s="58"/>
      <c r="J19" s="58"/>
      <c r="K19" s="100"/>
    </row>
    <row r="20" spans="2:14">
      <c r="B20" s="58"/>
      <c r="C20" s="58"/>
      <c r="D20" s="58"/>
      <c r="E20" s="32"/>
      <c r="F20" s="58"/>
      <c r="G20" s="58"/>
      <c r="H20" s="58"/>
      <c r="J20" s="58"/>
      <c r="K20" s="100"/>
    </row>
    <row r="21" spans="2:14">
      <c r="B21" s="58"/>
      <c r="C21" s="58"/>
      <c r="D21" s="58"/>
      <c r="E21" s="32"/>
      <c r="F21" s="58"/>
      <c r="G21" s="58"/>
      <c r="H21" s="58"/>
      <c r="J21" s="58"/>
      <c r="K21" s="100"/>
    </row>
    <row r="22" spans="2:14" ht="15.75" thickBot="1">
      <c r="B22" s="58"/>
      <c r="C22" s="58"/>
      <c r="D22" s="58"/>
      <c r="E22" s="32"/>
      <c r="F22" s="58"/>
      <c r="G22" s="58"/>
      <c r="H22" s="58"/>
      <c r="J22" s="76">
        <f>SUM(J6:J21)</f>
        <v>3000</v>
      </c>
      <c r="K22" s="100"/>
    </row>
    <row r="23" spans="2:14" ht="15.75" thickTop="1">
      <c r="B23" s="58"/>
      <c r="C23" s="58"/>
      <c r="D23" s="58"/>
      <c r="E23" s="32"/>
      <c r="F23" s="58"/>
      <c r="G23" s="58"/>
      <c r="H23" s="58"/>
    </row>
    <row r="24" spans="2:14">
      <c r="B24" s="58"/>
      <c r="C24" s="58"/>
      <c r="D24" s="58"/>
      <c r="E24" s="32"/>
      <c r="F24" s="58"/>
      <c r="G24" s="58"/>
      <c r="H24" s="58"/>
      <c r="J24" s="25"/>
      <c r="K24" s="33"/>
      <c r="M24" s="49"/>
    </row>
    <row r="25" spans="2:14" s="65" customFormat="1" ht="15.75" thickBot="1">
      <c r="B25" s="72">
        <f>SUM(B3:B24)</f>
        <v>0</v>
      </c>
      <c r="C25" s="72">
        <f>SUM(C3:C24)</f>
        <v>0</v>
      </c>
      <c r="D25" s="72">
        <f>SUM(D3:D24)</f>
        <v>0</v>
      </c>
      <c r="E25" s="72"/>
      <c r="F25" s="72">
        <f>SUM(F3:F24)</f>
        <v>0</v>
      </c>
      <c r="G25" s="72">
        <f>SUM(G3:G24)</f>
        <v>0</v>
      </c>
      <c r="H25" s="72">
        <f>SUM(H3:H24)</f>
        <v>0</v>
      </c>
      <c r="I25" s="70">
        <f>+D26+H26</f>
        <v>0</v>
      </c>
      <c r="K25" s="4"/>
      <c r="L25" s="98" t="s">
        <v>18</v>
      </c>
      <c r="M25" s="98" t="s">
        <v>129</v>
      </c>
    </row>
    <row r="26" spans="2:14" ht="15.75" thickTop="1">
      <c r="C26" s="74" t="s">
        <v>1</v>
      </c>
      <c r="D26" s="75">
        <f>SUM(B25:D25)</f>
        <v>0</v>
      </c>
      <c r="E26" s="28"/>
      <c r="F26" s="28"/>
      <c r="G26" s="74" t="s">
        <v>17</v>
      </c>
      <c r="H26" s="75">
        <f>SUM(F25:H25)</f>
        <v>0</v>
      </c>
      <c r="J26" s="79" t="s">
        <v>97</v>
      </c>
      <c r="K26" s="79"/>
      <c r="L26" s="32">
        <f>+D27+H27</f>
        <v>644950</v>
      </c>
      <c r="M26" s="32">
        <f>+I25</f>
        <v>0</v>
      </c>
    </row>
    <row r="27" spans="2:14">
      <c r="C27" s="65" t="s">
        <v>18</v>
      </c>
      <c r="D27" s="28">
        <v>335900</v>
      </c>
      <c r="G27" s="65" t="s">
        <v>18</v>
      </c>
      <c r="H27" s="65">
        <v>309050</v>
      </c>
      <c r="J27" s="80" t="s">
        <v>128</v>
      </c>
      <c r="K27" s="80"/>
      <c r="L27" s="58"/>
      <c r="M27" s="58"/>
    </row>
    <row r="28" spans="2:14">
      <c r="C28" s="73" t="s">
        <v>5</v>
      </c>
      <c r="D28" s="73">
        <f>+D26-D27</f>
        <v>-335900</v>
      </c>
      <c r="E28" s="73"/>
      <c r="F28" s="73"/>
      <c r="G28" s="73" t="s">
        <v>5</v>
      </c>
      <c r="H28" s="73">
        <f>+H26-H27</f>
        <v>-309050</v>
      </c>
      <c r="J28" s="80" t="s">
        <v>100</v>
      </c>
      <c r="K28" s="80"/>
      <c r="L28" s="58">
        <v>80600</v>
      </c>
      <c r="M28" s="58"/>
    </row>
    <row r="29" spans="2:14" ht="15.75" thickBot="1">
      <c r="J29" s="84" t="s">
        <v>98</v>
      </c>
      <c r="K29" s="84"/>
      <c r="L29" s="85"/>
      <c r="M29" s="85"/>
    </row>
    <row r="30" spans="2:14" ht="15.75" thickBot="1">
      <c r="J30" s="93" t="s">
        <v>99</v>
      </c>
      <c r="K30" s="93"/>
      <c r="L30" s="94">
        <f>SUM(L26:L29)</f>
        <v>725550</v>
      </c>
      <c r="M30" s="94">
        <f>SUM(M26:M29)</f>
        <v>0</v>
      </c>
    </row>
    <row r="31" spans="2:14" ht="15.75" thickTop="1">
      <c r="I31" s="49"/>
      <c r="J31" s="82" t="s">
        <v>4</v>
      </c>
      <c r="K31" s="82"/>
      <c r="L31" s="83">
        <v>721900</v>
      </c>
      <c r="M31" s="83"/>
    </row>
    <row r="32" spans="2:14" ht="15.75" thickBot="1">
      <c r="J32" s="95" t="s">
        <v>101</v>
      </c>
      <c r="K32" s="96"/>
      <c r="L32" s="97">
        <f>+L30-L31</f>
        <v>3650</v>
      </c>
      <c r="M32" s="97">
        <f>+M30-M31</f>
        <v>0</v>
      </c>
      <c r="N32" t="s">
        <v>45</v>
      </c>
    </row>
    <row r="33" ht="15.75" thickTop="1"/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3"/>
  <sheetViews>
    <sheetView topLeftCell="A11" workbookViewId="0">
      <selection activeCell="O16" sqref="O16"/>
    </sheetView>
  </sheetViews>
  <sheetFormatPr defaultRowHeight="15"/>
  <cols>
    <col min="1" max="1" width="2.85546875" customWidth="1"/>
    <col min="2" max="3" width="10.5703125" style="65" bestFit="1" customWidth="1"/>
    <col min="4" max="4" width="10.42578125" style="65" customWidth="1"/>
    <col min="5" max="5" width="2.28515625" style="65" customWidth="1"/>
    <col min="6" max="7" width="9.28515625" style="65" bestFit="1" customWidth="1"/>
    <col min="8" max="8" width="12.5703125" style="65" customWidth="1"/>
    <col min="9" max="9" width="10.28515625" customWidth="1"/>
    <col min="10" max="10" width="13.42578125" customWidth="1"/>
    <col min="11" max="11" width="9" customWidth="1"/>
    <col min="12" max="12" width="11.5703125" style="65" bestFit="1" customWidth="1"/>
  </cols>
  <sheetData>
    <row r="1" spans="2:11">
      <c r="B1" s="65" t="s">
        <v>1</v>
      </c>
      <c r="F1" s="65" t="s">
        <v>51</v>
      </c>
    </row>
    <row r="3" spans="2:11">
      <c r="B3" s="58"/>
      <c r="C3" s="58"/>
      <c r="D3" s="58"/>
      <c r="E3" s="32"/>
      <c r="F3" s="58"/>
      <c r="G3" s="58"/>
      <c r="H3" s="58"/>
    </row>
    <row r="4" spans="2:11">
      <c r="B4" s="58"/>
      <c r="C4" s="58"/>
      <c r="D4" s="58"/>
      <c r="E4" s="32"/>
      <c r="F4" s="58"/>
      <c r="G4" s="58"/>
      <c r="H4" s="58"/>
    </row>
    <row r="5" spans="2:11">
      <c r="B5" s="58"/>
      <c r="C5" s="58"/>
      <c r="D5" s="58"/>
      <c r="E5" s="32"/>
      <c r="F5" s="58"/>
      <c r="G5" s="58"/>
      <c r="H5" s="58"/>
      <c r="J5" t="s">
        <v>2</v>
      </c>
    </row>
    <row r="6" spans="2:11">
      <c r="B6" s="58"/>
      <c r="C6" s="58"/>
      <c r="D6" s="58"/>
      <c r="E6" s="32"/>
      <c r="F6" s="58"/>
      <c r="G6" s="58"/>
      <c r="H6" s="58"/>
      <c r="J6" s="58">
        <v>7500</v>
      </c>
      <c r="K6" t="s">
        <v>146</v>
      </c>
    </row>
    <row r="7" spans="2:11">
      <c r="B7" s="58"/>
      <c r="C7" s="58"/>
      <c r="D7" s="58"/>
      <c r="E7" s="32"/>
      <c r="F7" s="58"/>
      <c r="G7" s="58"/>
      <c r="H7" s="58"/>
      <c r="J7" s="58">
        <v>1000</v>
      </c>
      <c r="K7" s="102" t="s">
        <v>147</v>
      </c>
    </row>
    <row r="8" spans="2:11">
      <c r="B8" s="58"/>
      <c r="C8" s="58"/>
      <c r="D8" s="58"/>
      <c r="E8" s="32"/>
      <c r="F8" s="58"/>
      <c r="G8" s="58"/>
      <c r="H8" s="58"/>
      <c r="J8" s="58">
        <v>700</v>
      </c>
      <c r="K8" s="102" t="s">
        <v>125</v>
      </c>
    </row>
    <row r="9" spans="2:11">
      <c r="B9" s="58"/>
      <c r="C9" s="58"/>
      <c r="D9" s="58"/>
      <c r="E9" s="32"/>
      <c r="F9" s="58"/>
      <c r="G9" s="58"/>
      <c r="H9" s="58"/>
      <c r="J9" s="58"/>
      <c r="K9" s="100"/>
    </row>
    <row r="10" spans="2:11">
      <c r="B10" s="58"/>
      <c r="C10" s="58"/>
      <c r="D10" s="58"/>
      <c r="E10" s="32"/>
      <c r="F10" s="58"/>
      <c r="G10" s="58"/>
      <c r="H10" s="58"/>
      <c r="J10" s="58"/>
      <c r="K10" s="100"/>
    </row>
    <row r="11" spans="2:11">
      <c r="B11" s="58"/>
      <c r="C11" s="58"/>
      <c r="D11" s="58"/>
      <c r="E11" s="32"/>
      <c r="F11" s="58"/>
      <c r="G11" s="58"/>
      <c r="H11" s="58"/>
      <c r="J11" s="58"/>
      <c r="K11" s="100"/>
    </row>
    <row r="12" spans="2:11">
      <c r="B12" s="58"/>
      <c r="C12" s="58"/>
      <c r="D12" s="58"/>
      <c r="E12" s="32"/>
      <c r="F12" s="58"/>
      <c r="G12" s="58"/>
      <c r="H12" s="58"/>
      <c r="J12" s="58"/>
      <c r="K12" s="100"/>
    </row>
    <row r="13" spans="2:11">
      <c r="B13" s="58"/>
      <c r="C13" s="58"/>
      <c r="D13" s="58"/>
      <c r="E13" s="32"/>
      <c r="F13" s="58"/>
      <c r="G13" s="58"/>
      <c r="H13" s="58"/>
      <c r="J13" s="58"/>
      <c r="K13" s="100"/>
    </row>
    <row r="14" spans="2:11">
      <c r="B14" s="58"/>
      <c r="C14" s="58"/>
      <c r="D14" s="58"/>
      <c r="E14" s="32"/>
      <c r="F14" s="58"/>
      <c r="G14" s="58"/>
      <c r="H14" s="58"/>
      <c r="J14" s="58"/>
      <c r="K14" s="100"/>
    </row>
    <row r="15" spans="2:11">
      <c r="B15" s="58"/>
      <c r="C15" s="58"/>
      <c r="D15" s="58"/>
      <c r="E15" s="32"/>
      <c r="F15" s="58"/>
      <c r="G15" s="58"/>
      <c r="H15" s="58"/>
      <c r="J15" s="58"/>
      <c r="K15" s="100"/>
    </row>
    <row r="16" spans="2:11">
      <c r="B16" s="58"/>
      <c r="C16" s="58"/>
      <c r="D16" s="58"/>
      <c r="E16" s="32"/>
      <c r="F16" s="58"/>
      <c r="G16" s="58"/>
      <c r="H16" s="58"/>
      <c r="J16" s="58"/>
      <c r="K16" s="100"/>
    </row>
    <row r="17" spans="2:14">
      <c r="B17" s="58"/>
      <c r="C17" s="58"/>
      <c r="D17" s="58"/>
      <c r="E17" s="32"/>
      <c r="F17" s="58"/>
      <c r="G17" s="58"/>
      <c r="H17" s="58"/>
      <c r="J17" s="58"/>
      <c r="K17" s="100"/>
    </row>
    <row r="18" spans="2:14">
      <c r="B18" s="58"/>
      <c r="C18" s="58"/>
      <c r="D18" s="58"/>
      <c r="E18" s="32"/>
      <c r="F18" s="58"/>
      <c r="G18" s="58"/>
      <c r="H18" s="58"/>
      <c r="J18" s="58"/>
      <c r="K18" s="100"/>
    </row>
    <row r="19" spans="2:14">
      <c r="B19" s="58"/>
      <c r="C19" s="58"/>
      <c r="D19" s="58"/>
      <c r="E19" s="32"/>
      <c r="F19" s="58"/>
      <c r="G19" s="58"/>
      <c r="H19" s="58"/>
      <c r="J19" s="58"/>
      <c r="K19" s="100"/>
    </row>
    <row r="20" spans="2:14">
      <c r="B20" s="58"/>
      <c r="C20" s="58"/>
      <c r="D20" s="58"/>
      <c r="E20" s="32"/>
      <c r="F20" s="58"/>
      <c r="G20" s="58"/>
      <c r="H20" s="58"/>
      <c r="J20" s="58"/>
      <c r="K20" s="100"/>
    </row>
    <row r="21" spans="2:14">
      <c r="B21" s="58"/>
      <c r="C21" s="58"/>
      <c r="D21" s="58"/>
      <c r="E21" s="32"/>
      <c r="F21" s="58"/>
      <c r="G21" s="58"/>
      <c r="H21" s="58"/>
      <c r="J21" s="58"/>
      <c r="K21" s="100"/>
    </row>
    <row r="22" spans="2:14" ht="15.75" thickBot="1">
      <c r="B22" s="58"/>
      <c r="C22" s="58"/>
      <c r="D22" s="58"/>
      <c r="E22" s="32"/>
      <c r="F22" s="58"/>
      <c r="G22" s="58"/>
      <c r="H22" s="58"/>
      <c r="J22" s="76">
        <f>SUM(J6:J21)</f>
        <v>9200</v>
      </c>
      <c r="K22" s="100"/>
    </row>
    <row r="23" spans="2:14" ht="15.75" thickTop="1">
      <c r="B23" s="58"/>
      <c r="C23" s="58"/>
      <c r="D23" s="58"/>
      <c r="E23" s="32"/>
      <c r="F23" s="58"/>
      <c r="G23" s="58"/>
      <c r="H23" s="58"/>
    </row>
    <row r="24" spans="2:14">
      <c r="B24" s="58"/>
      <c r="C24" s="58"/>
      <c r="D24" s="58"/>
      <c r="E24" s="32"/>
      <c r="F24" s="58"/>
      <c r="G24" s="58"/>
      <c r="H24" s="58"/>
      <c r="J24" s="25"/>
      <c r="K24" s="33"/>
      <c r="M24" s="49"/>
    </row>
    <row r="25" spans="2:14" s="65" customFormat="1" ht="15.75" thickBot="1">
      <c r="B25" s="72">
        <f>SUM(B3:B24)</f>
        <v>0</v>
      </c>
      <c r="C25" s="72">
        <f>SUM(C3:C24)</f>
        <v>0</v>
      </c>
      <c r="D25" s="72">
        <f>SUM(D3:D24)</f>
        <v>0</v>
      </c>
      <c r="E25" s="72"/>
      <c r="F25" s="72">
        <f>SUM(F3:F24)</f>
        <v>0</v>
      </c>
      <c r="G25" s="72">
        <f>SUM(G3:G24)</f>
        <v>0</v>
      </c>
      <c r="H25" s="72">
        <f>SUM(H3:H24)</f>
        <v>0</v>
      </c>
      <c r="I25" s="70">
        <f>+D26+H26</f>
        <v>0</v>
      </c>
      <c r="K25" s="4"/>
      <c r="L25" s="98" t="s">
        <v>18</v>
      </c>
      <c r="M25" s="98" t="s">
        <v>129</v>
      </c>
    </row>
    <row r="26" spans="2:14" ht="15.75" thickTop="1">
      <c r="C26" s="74" t="s">
        <v>1</v>
      </c>
      <c r="D26" s="75">
        <f>SUM(B25:D25)</f>
        <v>0</v>
      </c>
      <c r="E26" s="28"/>
      <c r="F26" s="28"/>
      <c r="G26" s="74" t="s">
        <v>17</v>
      </c>
      <c r="H26" s="75">
        <f>SUM(F25:H25)</f>
        <v>0</v>
      </c>
      <c r="J26" s="79" t="s">
        <v>97</v>
      </c>
      <c r="K26" s="79"/>
      <c r="L26" s="32">
        <f>+D27+H27</f>
        <v>616050</v>
      </c>
      <c r="M26" s="32">
        <f>+I25</f>
        <v>0</v>
      </c>
    </row>
    <row r="27" spans="2:14">
      <c r="C27" s="65" t="s">
        <v>18</v>
      </c>
      <c r="D27" s="28">
        <v>330150</v>
      </c>
      <c r="G27" s="65" t="s">
        <v>18</v>
      </c>
      <c r="H27" s="65">
        <v>285900</v>
      </c>
      <c r="J27" s="80" t="s">
        <v>128</v>
      </c>
      <c r="K27" s="80"/>
      <c r="L27" s="58"/>
      <c r="M27" s="58"/>
    </row>
    <row r="28" spans="2:14">
      <c r="C28" s="73" t="s">
        <v>5</v>
      </c>
      <c r="D28" s="73">
        <f>+D26-D27</f>
        <v>-330150</v>
      </c>
      <c r="E28" s="73"/>
      <c r="F28" s="73"/>
      <c r="G28" s="73" t="s">
        <v>5</v>
      </c>
      <c r="H28" s="73">
        <f>+H26-H27</f>
        <v>-285900</v>
      </c>
      <c r="J28" s="80" t="s">
        <v>100</v>
      </c>
      <c r="K28" s="80"/>
      <c r="L28" s="58">
        <v>35500</v>
      </c>
      <c r="M28" s="58"/>
    </row>
    <row r="29" spans="2:14" ht="15.75" thickBot="1">
      <c r="J29" s="84" t="s">
        <v>98</v>
      </c>
      <c r="K29" s="84"/>
      <c r="L29" s="85"/>
      <c r="M29" s="85"/>
    </row>
    <row r="30" spans="2:14" ht="15.75" thickBot="1">
      <c r="J30" s="93" t="s">
        <v>99</v>
      </c>
      <c r="K30" s="93"/>
      <c r="L30" s="94">
        <f>SUM(L26:L29)</f>
        <v>651550</v>
      </c>
      <c r="M30" s="94">
        <f>SUM(M26:M29)</f>
        <v>0</v>
      </c>
    </row>
    <row r="31" spans="2:14" ht="15.75" thickTop="1">
      <c r="I31" s="49"/>
      <c r="J31" s="82" t="s">
        <v>4</v>
      </c>
      <c r="K31" s="82"/>
      <c r="L31" s="83">
        <v>647200</v>
      </c>
      <c r="M31" s="83"/>
    </row>
    <row r="32" spans="2:14" ht="15.75" thickBot="1">
      <c r="J32" s="95" t="s">
        <v>101</v>
      </c>
      <c r="K32" s="96"/>
      <c r="L32" s="97">
        <f>+L30-L31</f>
        <v>4350</v>
      </c>
      <c r="M32" s="97">
        <f>+M30-M31</f>
        <v>0</v>
      </c>
      <c r="N32" t="s">
        <v>102</v>
      </c>
    </row>
    <row r="33" ht="15.75" thickTop="1"/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3"/>
  <sheetViews>
    <sheetView topLeftCell="A14" workbookViewId="0">
      <selection activeCell="L31" sqref="L31"/>
    </sheetView>
  </sheetViews>
  <sheetFormatPr defaultRowHeight="15"/>
  <cols>
    <col min="1" max="1" width="2.85546875" customWidth="1"/>
    <col min="2" max="3" width="10.5703125" style="65" bestFit="1" customWidth="1"/>
    <col min="4" max="4" width="10.42578125" style="65" customWidth="1"/>
    <col min="5" max="5" width="2.28515625" style="65" customWidth="1"/>
    <col min="6" max="7" width="9.28515625" style="65" bestFit="1" customWidth="1"/>
    <col min="8" max="8" width="12.5703125" style="65" customWidth="1"/>
    <col min="9" max="9" width="10.28515625" customWidth="1"/>
    <col min="10" max="10" width="13.42578125" customWidth="1"/>
    <col min="11" max="11" width="9" customWidth="1"/>
    <col min="12" max="12" width="11.5703125" style="65" bestFit="1" customWidth="1"/>
  </cols>
  <sheetData>
    <row r="1" spans="2:11">
      <c r="B1" s="65" t="s">
        <v>1</v>
      </c>
      <c r="F1" s="65" t="s">
        <v>51</v>
      </c>
    </row>
    <row r="3" spans="2:11">
      <c r="B3" s="58"/>
      <c r="C3" s="58"/>
      <c r="D3" s="58"/>
      <c r="E3" s="32"/>
      <c r="F3" s="58"/>
      <c r="G3" s="58"/>
      <c r="H3" s="58"/>
    </row>
    <row r="4" spans="2:11">
      <c r="B4" s="58"/>
      <c r="C4" s="58"/>
      <c r="D4" s="58"/>
      <c r="E4" s="32"/>
      <c r="F4" s="58"/>
      <c r="G4" s="58"/>
      <c r="H4" s="58"/>
    </row>
    <row r="5" spans="2:11">
      <c r="B5" s="58"/>
      <c r="C5" s="58"/>
      <c r="D5" s="58"/>
      <c r="E5" s="32"/>
      <c r="F5" s="58"/>
      <c r="G5" s="58"/>
      <c r="H5" s="58"/>
      <c r="J5" t="s">
        <v>2</v>
      </c>
    </row>
    <row r="6" spans="2:11">
      <c r="B6" s="58"/>
      <c r="C6" s="58"/>
      <c r="D6" s="58"/>
      <c r="E6" s="32"/>
      <c r="F6" s="58"/>
      <c r="G6" s="58"/>
      <c r="H6" s="58"/>
      <c r="J6" s="58">
        <v>200</v>
      </c>
    </row>
    <row r="7" spans="2:11">
      <c r="B7" s="58"/>
      <c r="C7" s="58"/>
      <c r="D7" s="58"/>
      <c r="E7" s="32"/>
      <c r="F7" s="58"/>
      <c r="G7" s="58"/>
      <c r="H7" s="58"/>
      <c r="J7" s="58">
        <v>550</v>
      </c>
      <c r="K7" s="102"/>
    </row>
    <row r="8" spans="2:11">
      <c r="B8" s="58"/>
      <c r="C8" s="58"/>
      <c r="D8" s="58"/>
      <c r="E8" s="32"/>
      <c r="F8" s="58"/>
      <c r="G8" s="58"/>
      <c r="H8" s="58"/>
      <c r="J8" s="58">
        <v>1000</v>
      </c>
      <c r="K8" s="102"/>
    </row>
    <row r="9" spans="2:11">
      <c r="B9" s="58"/>
      <c r="C9" s="58"/>
      <c r="D9" s="58"/>
      <c r="E9" s="32"/>
      <c r="F9" s="58"/>
      <c r="G9" s="58"/>
      <c r="H9" s="58"/>
      <c r="J9" s="58"/>
      <c r="K9" s="102"/>
    </row>
    <row r="10" spans="2:11">
      <c r="B10" s="58"/>
      <c r="C10" s="58"/>
      <c r="D10" s="58"/>
      <c r="E10" s="32"/>
      <c r="F10" s="58"/>
      <c r="G10" s="58"/>
      <c r="H10" s="58"/>
      <c r="J10" s="58"/>
      <c r="K10" s="102"/>
    </row>
    <row r="11" spans="2:11">
      <c r="B11" s="58"/>
      <c r="C11" s="58"/>
      <c r="D11" s="58"/>
      <c r="E11" s="32"/>
      <c r="F11" s="58"/>
      <c r="G11" s="58"/>
      <c r="H11" s="58"/>
      <c r="J11" s="58"/>
      <c r="K11" s="102"/>
    </row>
    <row r="12" spans="2:11">
      <c r="B12" s="58"/>
      <c r="C12" s="58"/>
      <c r="D12" s="58"/>
      <c r="E12" s="32"/>
      <c r="F12" s="58"/>
      <c r="G12" s="58"/>
      <c r="H12" s="58"/>
      <c r="J12" s="58"/>
      <c r="K12" s="102"/>
    </row>
    <row r="13" spans="2:11">
      <c r="B13" s="58"/>
      <c r="C13" s="58"/>
      <c r="D13" s="58"/>
      <c r="E13" s="32"/>
      <c r="F13" s="58"/>
      <c r="G13" s="58"/>
      <c r="H13" s="58"/>
      <c r="J13" s="58"/>
      <c r="K13" s="102"/>
    </row>
    <row r="14" spans="2:11">
      <c r="B14" s="58"/>
      <c r="C14" s="58"/>
      <c r="D14" s="58"/>
      <c r="E14" s="32"/>
      <c r="F14" s="58"/>
      <c r="G14" s="58"/>
      <c r="H14" s="58"/>
      <c r="J14" s="58"/>
      <c r="K14" s="102"/>
    </row>
    <row r="15" spans="2:11">
      <c r="B15" s="58"/>
      <c r="C15" s="58"/>
      <c r="D15" s="58"/>
      <c r="E15" s="32"/>
      <c r="F15" s="58"/>
      <c r="G15" s="58"/>
      <c r="H15" s="58"/>
      <c r="J15" s="58"/>
      <c r="K15" s="102"/>
    </row>
    <row r="16" spans="2:11">
      <c r="B16" s="58"/>
      <c r="C16" s="58"/>
      <c r="D16" s="58"/>
      <c r="E16" s="32"/>
      <c r="F16" s="58"/>
      <c r="G16" s="58"/>
      <c r="H16" s="58"/>
      <c r="J16" s="58"/>
      <c r="K16" s="102"/>
    </row>
    <row r="17" spans="2:14">
      <c r="B17" s="58"/>
      <c r="C17" s="58"/>
      <c r="D17" s="58"/>
      <c r="E17" s="32"/>
      <c r="F17" s="58"/>
      <c r="G17" s="58"/>
      <c r="H17" s="58"/>
      <c r="J17" s="58"/>
      <c r="K17" s="102"/>
    </row>
    <row r="18" spans="2:14">
      <c r="B18" s="58"/>
      <c r="C18" s="58"/>
      <c r="D18" s="58"/>
      <c r="E18" s="32"/>
      <c r="F18" s="58"/>
      <c r="G18" s="58"/>
      <c r="H18" s="58"/>
      <c r="J18" s="58"/>
      <c r="K18" s="102"/>
    </row>
    <row r="19" spans="2:14">
      <c r="B19" s="58"/>
      <c r="C19" s="58"/>
      <c r="D19" s="58"/>
      <c r="E19" s="32"/>
      <c r="F19" s="58"/>
      <c r="G19" s="58"/>
      <c r="H19" s="58"/>
      <c r="J19" s="58"/>
      <c r="K19" s="102"/>
    </row>
    <row r="20" spans="2:14">
      <c r="B20" s="58"/>
      <c r="C20" s="58"/>
      <c r="D20" s="58"/>
      <c r="E20" s="32"/>
      <c r="F20" s="58"/>
      <c r="G20" s="58"/>
      <c r="H20" s="58"/>
      <c r="J20" s="58"/>
      <c r="K20" s="102"/>
    </row>
    <row r="21" spans="2:14">
      <c r="B21" s="58"/>
      <c r="C21" s="58"/>
      <c r="D21" s="58"/>
      <c r="E21" s="32"/>
      <c r="F21" s="58"/>
      <c r="G21" s="58"/>
      <c r="H21" s="58"/>
      <c r="J21" s="58"/>
      <c r="K21" s="102"/>
    </row>
    <row r="22" spans="2:14" ht="15.75" thickBot="1">
      <c r="B22" s="58"/>
      <c r="C22" s="58"/>
      <c r="D22" s="58"/>
      <c r="E22" s="32"/>
      <c r="F22" s="58"/>
      <c r="G22" s="58"/>
      <c r="H22" s="58"/>
      <c r="J22" s="76">
        <f>SUM(J6:J21)</f>
        <v>1750</v>
      </c>
      <c r="K22" s="102"/>
    </row>
    <row r="23" spans="2:14" ht="15.75" thickTop="1">
      <c r="B23" s="58"/>
      <c r="C23" s="58"/>
      <c r="D23" s="58"/>
      <c r="E23" s="32"/>
      <c r="F23" s="58"/>
      <c r="G23" s="58"/>
      <c r="H23" s="58"/>
    </row>
    <row r="24" spans="2:14">
      <c r="B24" s="58"/>
      <c r="C24" s="58"/>
      <c r="D24" s="58"/>
      <c r="E24" s="32"/>
      <c r="F24" s="58"/>
      <c r="G24" s="58"/>
      <c r="H24" s="58"/>
      <c r="J24" s="25"/>
      <c r="K24" s="33"/>
      <c r="M24" s="49"/>
    </row>
    <row r="25" spans="2:14" s="65" customFormat="1" ht="15.75" thickBot="1">
      <c r="B25" s="72">
        <f>SUM(B3:B24)</f>
        <v>0</v>
      </c>
      <c r="C25" s="72">
        <f>SUM(C3:C24)</f>
        <v>0</v>
      </c>
      <c r="D25" s="72">
        <f>SUM(D3:D24)</f>
        <v>0</v>
      </c>
      <c r="E25" s="72"/>
      <c r="F25" s="72">
        <f>SUM(F3:F24)</f>
        <v>0</v>
      </c>
      <c r="G25" s="72">
        <f>SUM(G3:G24)</f>
        <v>0</v>
      </c>
      <c r="H25" s="72">
        <f>SUM(H3:H24)</f>
        <v>0</v>
      </c>
      <c r="I25" s="70">
        <f>+D26+H26</f>
        <v>0</v>
      </c>
      <c r="K25" s="4"/>
      <c r="L25" s="98" t="s">
        <v>18</v>
      </c>
      <c r="M25" s="98" t="s">
        <v>129</v>
      </c>
    </row>
    <row r="26" spans="2:14" ht="15.75" thickTop="1">
      <c r="C26" s="74" t="s">
        <v>1</v>
      </c>
      <c r="D26" s="75">
        <f>SUM(B25:D25)</f>
        <v>0</v>
      </c>
      <c r="E26" s="28"/>
      <c r="F26" s="28"/>
      <c r="G26" s="74" t="s">
        <v>17</v>
      </c>
      <c r="H26" s="75">
        <f>SUM(F25:H25)</f>
        <v>0</v>
      </c>
      <c r="J26" s="79" t="s">
        <v>97</v>
      </c>
      <c r="K26" s="79"/>
      <c r="L26" s="32">
        <f>+D27+H27</f>
        <v>640200</v>
      </c>
      <c r="M26" s="32">
        <f>+I25</f>
        <v>0</v>
      </c>
    </row>
    <row r="27" spans="2:14">
      <c r="C27" s="65" t="s">
        <v>18</v>
      </c>
      <c r="D27" s="28">
        <v>303150</v>
      </c>
      <c r="G27" s="65" t="s">
        <v>18</v>
      </c>
      <c r="H27" s="65">
        <v>337050</v>
      </c>
      <c r="J27" s="80" t="s">
        <v>128</v>
      </c>
      <c r="K27" s="80"/>
      <c r="L27" s="58"/>
      <c r="M27" s="58"/>
    </row>
    <row r="28" spans="2:14">
      <c r="C28" s="73" t="s">
        <v>5</v>
      </c>
      <c r="D28" s="73">
        <f>+D26-D27</f>
        <v>-303150</v>
      </c>
      <c r="E28" s="73"/>
      <c r="F28" s="73"/>
      <c r="G28" s="73" t="s">
        <v>5</v>
      </c>
      <c r="H28" s="73">
        <f>+H26-H27</f>
        <v>-337050</v>
      </c>
      <c r="J28" s="80" t="s">
        <v>100</v>
      </c>
      <c r="K28" s="80"/>
      <c r="L28" s="58">
        <v>99150</v>
      </c>
      <c r="M28" s="58"/>
    </row>
    <row r="29" spans="2:14" ht="15.75" thickBot="1">
      <c r="J29" s="84" t="s">
        <v>98</v>
      </c>
      <c r="K29" s="84"/>
      <c r="L29" s="85"/>
      <c r="M29" s="85"/>
    </row>
    <row r="30" spans="2:14" ht="15.75" thickBot="1">
      <c r="J30" s="93" t="s">
        <v>99</v>
      </c>
      <c r="K30" s="93"/>
      <c r="L30" s="94">
        <f>SUM(L26:L29)</f>
        <v>739350</v>
      </c>
      <c r="M30" s="94">
        <f>SUM(M26:M29)</f>
        <v>0</v>
      </c>
    </row>
    <row r="31" spans="2:14" ht="15.75" thickTop="1">
      <c r="I31" s="49"/>
      <c r="J31" s="82" t="s">
        <v>4</v>
      </c>
      <c r="K31" s="82"/>
      <c r="L31" s="83">
        <v>754600</v>
      </c>
      <c r="M31" s="83"/>
    </row>
    <row r="32" spans="2:14" ht="15.75" thickBot="1">
      <c r="J32" s="95" t="s">
        <v>101</v>
      </c>
      <c r="K32" s="96"/>
      <c r="L32" s="97">
        <f>+L30-L31</f>
        <v>-15250</v>
      </c>
      <c r="M32" s="97">
        <f>+M30-M31</f>
        <v>0</v>
      </c>
      <c r="N32" t="s">
        <v>45</v>
      </c>
    </row>
    <row r="33" ht="15.75" thickTop="1"/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3"/>
  <sheetViews>
    <sheetView topLeftCell="A12" workbookViewId="0">
      <selection activeCell="F33" sqref="F33"/>
    </sheetView>
  </sheetViews>
  <sheetFormatPr defaultRowHeight="15"/>
  <cols>
    <col min="1" max="1" width="2.85546875" customWidth="1"/>
    <col min="2" max="3" width="10.5703125" style="65" bestFit="1" customWidth="1"/>
    <col min="4" max="4" width="10.42578125" style="65" customWidth="1"/>
    <col min="5" max="5" width="2.28515625" style="65" customWidth="1"/>
    <col min="6" max="7" width="9.28515625" style="65" bestFit="1" customWidth="1"/>
    <col min="8" max="8" width="12.5703125" style="65" customWidth="1"/>
    <col min="9" max="9" width="10.28515625" customWidth="1"/>
    <col min="10" max="10" width="13.42578125" customWidth="1"/>
    <col min="11" max="11" width="9" customWidth="1"/>
    <col min="12" max="12" width="11.5703125" style="65" bestFit="1" customWidth="1"/>
  </cols>
  <sheetData>
    <row r="1" spans="2:12">
      <c r="B1" s="65" t="s">
        <v>1</v>
      </c>
      <c r="F1" s="65" t="s">
        <v>51</v>
      </c>
    </row>
    <row r="3" spans="2:12">
      <c r="B3" s="58"/>
      <c r="C3" s="58"/>
      <c r="D3" s="58"/>
      <c r="E3" s="32"/>
      <c r="F3" s="58"/>
      <c r="G3" s="58"/>
      <c r="H3" s="58"/>
    </row>
    <row r="4" spans="2:12">
      <c r="B4" s="58"/>
      <c r="C4" s="58"/>
      <c r="D4" s="58"/>
      <c r="E4" s="32"/>
      <c r="F4" s="58"/>
      <c r="G4" s="58"/>
      <c r="H4" s="58"/>
    </row>
    <row r="5" spans="2:12">
      <c r="B5" s="58"/>
      <c r="C5" s="58"/>
      <c r="D5" s="58"/>
      <c r="E5" s="32"/>
      <c r="F5" s="58"/>
      <c r="G5" s="58"/>
      <c r="H5" s="58"/>
      <c r="J5" t="s">
        <v>2</v>
      </c>
    </row>
    <row r="6" spans="2:12">
      <c r="B6" s="58"/>
      <c r="C6" s="58"/>
      <c r="D6" s="58"/>
      <c r="E6" s="32"/>
      <c r="F6" s="58"/>
      <c r="G6" s="58"/>
      <c r="H6" s="58"/>
      <c r="J6" s="58">
        <v>1500</v>
      </c>
      <c r="K6" t="s">
        <v>167</v>
      </c>
    </row>
    <row r="7" spans="2:12">
      <c r="B7" s="58"/>
      <c r="C7" s="58"/>
      <c r="D7" s="58"/>
      <c r="E7" s="32"/>
      <c r="F7" s="58"/>
      <c r="G7" s="58"/>
      <c r="H7" s="58"/>
      <c r="J7" s="58">
        <v>7400</v>
      </c>
      <c r="K7" s="106" t="s">
        <v>179</v>
      </c>
    </row>
    <row r="8" spans="2:12">
      <c r="B8" s="58"/>
      <c r="C8" s="58"/>
      <c r="D8" s="58"/>
      <c r="E8" s="32"/>
      <c r="F8" s="58"/>
      <c r="G8" s="58"/>
      <c r="H8" s="58"/>
      <c r="J8" s="58">
        <v>5000</v>
      </c>
      <c r="K8" s="104" t="s">
        <v>168</v>
      </c>
    </row>
    <row r="9" spans="2:12">
      <c r="B9" s="58"/>
      <c r="C9" s="58"/>
      <c r="D9" s="58"/>
      <c r="E9" s="32"/>
      <c r="F9" s="58"/>
      <c r="G9" s="58"/>
      <c r="H9" s="58"/>
      <c r="J9" s="58">
        <v>300</v>
      </c>
      <c r="K9" s="104" t="s">
        <v>170</v>
      </c>
      <c r="L9" s="105"/>
    </row>
    <row r="10" spans="2:12">
      <c r="B10" s="58"/>
      <c r="C10" s="58"/>
      <c r="D10" s="58"/>
      <c r="E10" s="32"/>
      <c r="F10" s="58"/>
      <c r="G10" s="58"/>
      <c r="H10" s="58"/>
      <c r="J10" s="58">
        <v>800</v>
      </c>
      <c r="K10" s="104" t="s">
        <v>169</v>
      </c>
    </row>
    <row r="11" spans="2:12">
      <c r="B11" s="58"/>
      <c r="C11" s="58"/>
      <c r="D11" s="58"/>
      <c r="E11" s="32"/>
      <c r="F11" s="58"/>
      <c r="G11" s="58"/>
      <c r="H11" s="58"/>
      <c r="J11" s="58"/>
      <c r="K11" s="102"/>
    </row>
    <row r="12" spans="2:12">
      <c r="B12" s="58"/>
      <c r="C12" s="58"/>
      <c r="D12" s="58"/>
      <c r="E12" s="32"/>
      <c r="F12" s="58"/>
      <c r="G12" s="58"/>
      <c r="H12" s="58"/>
      <c r="J12" s="58"/>
      <c r="K12" s="102"/>
    </row>
    <row r="13" spans="2:12">
      <c r="B13" s="58"/>
      <c r="C13" s="58"/>
      <c r="D13" s="58"/>
      <c r="E13" s="32"/>
      <c r="F13" s="58"/>
      <c r="G13" s="58"/>
      <c r="H13" s="58"/>
      <c r="J13" s="58"/>
      <c r="K13" s="102"/>
    </row>
    <row r="14" spans="2:12">
      <c r="B14" s="58"/>
      <c r="C14" s="58"/>
      <c r="D14" s="58"/>
      <c r="E14" s="32"/>
      <c r="F14" s="58"/>
      <c r="G14" s="58"/>
      <c r="H14" s="58"/>
      <c r="J14" s="58"/>
      <c r="K14" s="102"/>
    </row>
    <row r="15" spans="2:12">
      <c r="B15" s="58"/>
      <c r="C15" s="58"/>
      <c r="D15" s="58"/>
      <c r="E15" s="32"/>
      <c r="F15" s="58"/>
      <c r="G15" s="58"/>
      <c r="H15" s="58"/>
      <c r="J15" s="58"/>
      <c r="K15" s="102"/>
    </row>
    <row r="16" spans="2:12">
      <c r="B16" s="58"/>
      <c r="C16" s="58"/>
      <c r="D16" s="58"/>
      <c r="E16" s="32"/>
      <c r="F16" s="58"/>
      <c r="G16" s="58"/>
      <c r="H16" s="58"/>
      <c r="J16" s="58"/>
      <c r="K16" s="102"/>
    </row>
    <row r="17" spans="2:14">
      <c r="B17" s="58"/>
      <c r="C17" s="58"/>
      <c r="D17" s="58"/>
      <c r="E17" s="32"/>
      <c r="F17" s="58"/>
      <c r="G17" s="58"/>
      <c r="H17" s="58"/>
      <c r="J17" s="58"/>
      <c r="K17" s="102"/>
    </row>
    <row r="18" spans="2:14">
      <c r="B18" s="58"/>
      <c r="C18" s="58"/>
      <c r="D18" s="58"/>
      <c r="E18" s="32"/>
      <c r="F18" s="58"/>
      <c r="G18" s="58"/>
      <c r="H18" s="58"/>
      <c r="J18" s="58"/>
      <c r="K18" s="102"/>
    </row>
    <row r="19" spans="2:14">
      <c r="B19" s="58"/>
      <c r="C19" s="58"/>
      <c r="D19" s="58"/>
      <c r="E19" s="32"/>
      <c r="F19" s="58"/>
      <c r="G19" s="58"/>
      <c r="H19" s="58"/>
      <c r="J19" s="58"/>
      <c r="K19" s="102"/>
    </row>
    <row r="20" spans="2:14">
      <c r="B20" s="58"/>
      <c r="C20" s="58"/>
      <c r="D20" s="58"/>
      <c r="E20" s="32"/>
      <c r="F20" s="58"/>
      <c r="G20" s="58"/>
      <c r="H20" s="58"/>
      <c r="J20" s="58"/>
      <c r="K20" s="102"/>
    </row>
    <row r="21" spans="2:14">
      <c r="B21" s="58"/>
      <c r="C21" s="58"/>
      <c r="D21" s="58"/>
      <c r="E21" s="32"/>
      <c r="F21" s="58"/>
      <c r="G21" s="58"/>
      <c r="H21" s="58"/>
      <c r="J21" s="58"/>
      <c r="K21" s="102"/>
    </row>
    <row r="22" spans="2:14" ht="15.75" thickBot="1">
      <c r="B22" s="58"/>
      <c r="C22" s="58"/>
      <c r="D22" s="58"/>
      <c r="E22" s="32"/>
      <c r="F22" s="58"/>
      <c r="G22" s="58"/>
      <c r="H22" s="58"/>
      <c r="J22" s="76">
        <f>SUM(J6:J21)</f>
        <v>15000</v>
      </c>
      <c r="K22" s="102"/>
    </row>
    <row r="23" spans="2:14" ht="15.75" thickTop="1">
      <c r="B23" s="58"/>
      <c r="C23" s="58"/>
      <c r="D23" s="58"/>
      <c r="E23" s="32"/>
      <c r="F23" s="58"/>
      <c r="G23" s="58"/>
      <c r="H23" s="58"/>
    </row>
    <row r="24" spans="2:14">
      <c r="B24" s="58"/>
      <c r="C24" s="58"/>
      <c r="D24" s="58"/>
      <c r="E24" s="32"/>
      <c r="F24" s="58"/>
      <c r="G24" s="58"/>
      <c r="H24" s="58"/>
      <c r="J24" s="25"/>
      <c r="K24" s="33"/>
      <c r="M24" s="49"/>
    </row>
    <row r="25" spans="2:14" s="65" customFormat="1" ht="15.75" thickBot="1">
      <c r="B25" s="72">
        <f>SUM(B3:B24)</f>
        <v>0</v>
      </c>
      <c r="C25" s="72">
        <f>SUM(C3:C24)</f>
        <v>0</v>
      </c>
      <c r="D25" s="72">
        <f>SUM(D3:D24)</f>
        <v>0</v>
      </c>
      <c r="E25" s="72"/>
      <c r="F25" s="72">
        <f>SUM(F3:F24)</f>
        <v>0</v>
      </c>
      <c r="G25" s="72">
        <f>SUM(G3:G24)</f>
        <v>0</v>
      </c>
      <c r="H25" s="72">
        <f>SUM(H3:H24)</f>
        <v>0</v>
      </c>
      <c r="I25" s="70">
        <f>+D26+H26</f>
        <v>0</v>
      </c>
      <c r="K25" s="4"/>
      <c r="L25" s="98" t="s">
        <v>18</v>
      </c>
      <c r="M25" s="98" t="s">
        <v>129</v>
      </c>
    </row>
    <row r="26" spans="2:14" ht="15.75" thickTop="1">
      <c r="C26" s="74" t="s">
        <v>1</v>
      </c>
      <c r="D26" s="75">
        <f>SUM(B25:D25)</f>
        <v>0</v>
      </c>
      <c r="E26" s="28"/>
      <c r="F26" s="28"/>
      <c r="G26" s="74" t="s">
        <v>17</v>
      </c>
      <c r="H26" s="75">
        <f>SUM(F25:H25)</f>
        <v>0</v>
      </c>
      <c r="J26" s="79" t="s">
        <v>97</v>
      </c>
      <c r="K26" s="79"/>
      <c r="L26" s="32">
        <f>+D27+H27</f>
        <v>818200</v>
      </c>
      <c r="M26" s="32">
        <f>+I25</f>
        <v>0</v>
      </c>
    </row>
    <row r="27" spans="2:14">
      <c r="C27" s="65" t="s">
        <v>18</v>
      </c>
      <c r="D27" s="28">
        <v>454900</v>
      </c>
      <c r="G27" s="65" t="s">
        <v>18</v>
      </c>
      <c r="H27" s="65">
        <v>363300</v>
      </c>
      <c r="J27" s="80" t="s">
        <v>128</v>
      </c>
      <c r="K27" s="80"/>
      <c r="L27" s="58">
        <v>-78000</v>
      </c>
      <c r="M27" s="58"/>
    </row>
    <row r="28" spans="2:14">
      <c r="C28" s="73" t="s">
        <v>5</v>
      </c>
      <c r="D28" s="73">
        <f>+D26-D27</f>
        <v>-454900</v>
      </c>
      <c r="E28" s="73"/>
      <c r="F28" s="73"/>
      <c r="G28" s="73" t="s">
        <v>5</v>
      </c>
      <c r="H28" s="73">
        <f>+H26-H27</f>
        <v>-363300</v>
      </c>
      <c r="J28" s="80" t="s">
        <v>100</v>
      </c>
      <c r="K28" s="80"/>
      <c r="L28" s="58">
        <v>18000</v>
      </c>
      <c r="M28" s="58"/>
    </row>
    <row r="29" spans="2:14">
      <c r="J29" s="80" t="s">
        <v>98</v>
      </c>
      <c r="K29" s="80"/>
      <c r="L29" s="58"/>
      <c r="M29" s="58"/>
    </row>
    <row r="30" spans="2:14" ht="15.75" thickBot="1">
      <c r="J30" s="93" t="s">
        <v>99</v>
      </c>
      <c r="K30" s="93"/>
      <c r="L30" s="94">
        <f>SUM(L26:L29)</f>
        <v>758200</v>
      </c>
      <c r="M30" s="94">
        <f>SUM(M26:M29)</f>
        <v>0</v>
      </c>
    </row>
    <row r="31" spans="2:14" ht="15.75" thickTop="1">
      <c r="I31" s="49"/>
      <c r="J31" s="82" t="s">
        <v>4</v>
      </c>
      <c r="K31" s="82"/>
      <c r="L31" s="83">
        <v>758100</v>
      </c>
      <c r="M31" s="83"/>
    </row>
    <row r="32" spans="2:14" ht="15.75" thickBot="1">
      <c r="J32" s="95" t="s">
        <v>101</v>
      </c>
      <c r="K32" s="96"/>
      <c r="L32" s="97">
        <f>+L30-L31</f>
        <v>100</v>
      </c>
      <c r="M32" s="97">
        <f>+M30-M31</f>
        <v>0</v>
      </c>
      <c r="N32" t="s">
        <v>130</v>
      </c>
    </row>
    <row r="33" ht="15.75" thickTop="1"/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23"/>
  <sheetViews>
    <sheetView topLeftCell="A3" workbookViewId="0">
      <selection activeCell="H24" sqref="H24"/>
    </sheetView>
  </sheetViews>
  <sheetFormatPr defaultRowHeight="15"/>
  <cols>
    <col min="4" max="4" width="10.7109375" customWidth="1"/>
    <col min="8" max="8" width="10.7109375" customWidth="1"/>
  </cols>
  <sheetData>
    <row r="4" spans="1:15">
      <c r="B4" s="58"/>
      <c r="C4" s="58"/>
      <c r="D4" s="58"/>
      <c r="E4" s="32"/>
      <c r="F4" s="58"/>
      <c r="G4" s="58"/>
      <c r="H4" s="58"/>
      <c r="J4" s="58">
        <v>200</v>
      </c>
      <c r="K4" s="107" t="s">
        <v>180</v>
      </c>
      <c r="L4" s="105"/>
    </row>
    <row r="5" spans="1:15">
      <c r="B5" s="58"/>
      <c r="C5" s="58"/>
      <c r="D5" s="58"/>
      <c r="E5" s="32"/>
      <c r="F5" s="58"/>
      <c r="G5" s="58"/>
      <c r="H5" s="58"/>
      <c r="J5" s="58">
        <v>1000</v>
      </c>
      <c r="K5" s="107" t="s">
        <v>181</v>
      </c>
      <c r="L5" s="105"/>
    </row>
    <row r="6" spans="1:15">
      <c r="B6" s="58"/>
      <c r="C6" s="58"/>
      <c r="D6" s="58"/>
      <c r="E6" s="32"/>
      <c r="F6" s="58"/>
      <c r="G6" s="58"/>
      <c r="H6" s="58"/>
      <c r="J6" s="58">
        <v>2000</v>
      </c>
      <c r="K6" s="107" t="s">
        <v>182</v>
      </c>
      <c r="L6" s="105"/>
    </row>
    <row r="7" spans="1:15">
      <c r="B7" s="58"/>
      <c r="C7" s="58"/>
      <c r="D7" s="58"/>
      <c r="E7" s="32"/>
      <c r="F7" s="58"/>
      <c r="G7" s="58"/>
      <c r="H7" s="58"/>
      <c r="J7" s="58">
        <v>1000</v>
      </c>
      <c r="K7" s="107" t="s">
        <v>183</v>
      </c>
      <c r="L7" s="105"/>
    </row>
    <row r="8" spans="1:15">
      <c r="B8" s="58"/>
      <c r="C8" s="58"/>
      <c r="D8" s="58"/>
      <c r="E8" s="32"/>
      <c r="F8" s="58"/>
      <c r="G8" s="58"/>
      <c r="H8" s="58"/>
      <c r="J8" s="58">
        <v>2000</v>
      </c>
      <c r="K8" s="107" t="s">
        <v>184</v>
      </c>
      <c r="L8" s="105"/>
    </row>
    <row r="9" spans="1:15">
      <c r="B9" s="58"/>
      <c r="C9" s="58"/>
      <c r="D9" s="58"/>
      <c r="E9" s="32"/>
      <c r="F9" s="58"/>
      <c r="G9" s="58"/>
      <c r="H9" s="58"/>
      <c r="J9" s="58"/>
      <c r="K9" s="106"/>
      <c r="L9" s="105"/>
    </row>
    <row r="10" spans="1:15" ht="15.75" thickBot="1">
      <c r="B10" s="58"/>
      <c r="C10" s="58"/>
      <c r="D10" s="58"/>
      <c r="E10" s="32"/>
      <c r="F10" s="58"/>
      <c r="G10" s="58"/>
      <c r="H10" s="58"/>
      <c r="J10" s="76">
        <f>SUM(J2:J9)</f>
        <v>6200</v>
      </c>
      <c r="K10" s="106"/>
      <c r="L10" s="105"/>
    </row>
    <row r="11" spans="1:15" ht="15.75" thickTop="1">
      <c r="B11" s="58"/>
      <c r="C11" s="58"/>
      <c r="D11" s="58"/>
      <c r="E11" s="32"/>
      <c r="F11" s="58"/>
      <c r="G11" s="58"/>
      <c r="H11" s="58"/>
      <c r="L11" s="105"/>
    </row>
    <row r="12" spans="1:15">
      <c r="B12" s="58"/>
      <c r="C12" s="58"/>
      <c r="D12" s="58"/>
      <c r="E12" s="32"/>
      <c r="F12" s="58"/>
      <c r="G12" s="58"/>
      <c r="H12" s="58"/>
      <c r="J12" s="25"/>
      <c r="K12" s="33"/>
      <c r="L12" s="105"/>
      <c r="M12" s="49"/>
    </row>
    <row r="13" spans="1:15" ht="15.75" thickBot="1">
      <c r="A13" s="105"/>
      <c r="B13" s="72">
        <f>SUM(B2:B12)</f>
        <v>0</v>
      </c>
      <c r="C13" s="72">
        <f>SUM(C2:C12)</f>
        <v>0</v>
      </c>
      <c r="D13" s="72">
        <f>SUM(D2:D12)</f>
        <v>0</v>
      </c>
      <c r="E13" s="72"/>
      <c r="F13" s="72">
        <f>SUM(F2:F12)</f>
        <v>0</v>
      </c>
      <c r="G13" s="72">
        <f>SUM(G2:G12)</f>
        <v>0</v>
      </c>
      <c r="H13" s="72">
        <f>SUM(H2:H12)</f>
        <v>0</v>
      </c>
      <c r="I13" s="70">
        <f>+D14+H14</f>
        <v>0</v>
      </c>
      <c r="J13" s="105"/>
      <c r="K13" s="4"/>
      <c r="L13" s="98" t="s">
        <v>18</v>
      </c>
      <c r="M13" s="98" t="s">
        <v>129</v>
      </c>
      <c r="N13" s="105"/>
      <c r="O13" s="105"/>
    </row>
    <row r="14" spans="1:15" ht="15.75" thickTop="1">
      <c r="B14" s="105"/>
      <c r="C14" s="74" t="s">
        <v>1</v>
      </c>
      <c r="D14" s="75">
        <f>SUM(B13:D13)</f>
        <v>0</v>
      </c>
      <c r="E14" s="28"/>
      <c r="F14" s="28"/>
      <c r="G14" s="74" t="s">
        <v>17</v>
      </c>
      <c r="H14" s="75">
        <f>SUM(F13:H13)</f>
        <v>0</v>
      </c>
      <c r="J14" s="79" t="s">
        <v>97</v>
      </c>
      <c r="K14" s="79"/>
      <c r="L14" s="32">
        <f>+D15+H15</f>
        <v>652700</v>
      </c>
      <c r="M14" s="32">
        <f>+I13</f>
        <v>0</v>
      </c>
    </row>
    <row r="15" spans="1:15">
      <c r="B15" s="105"/>
      <c r="C15" s="105" t="s">
        <v>18</v>
      </c>
      <c r="D15" s="28">
        <v>340850</v>
      </c>
      <c r="E15" s="105"/>
      <c r="F15" s="105"/>
      <c r="G15" s="105" t="s">
        <v>18</v>
      </c>
      <c r="H15" s="105">
        <v>311850</v>
      </c>
      <c r="J15" s="80" t="s">
        <v>128</v>
      </c>
      <c r="K15" s="80"/>
      <c r="L15" s="58">
        <v>-40000</v>
      </c>
      <c r="M15" s="58"/>
    </row>
    <row r="16" spans="1:15">
      <c r="B16" s="105"/>
      <c r="C16" s="73" t="s">
        <v>5</v>
      </c>
      <c r="D16" s="73">
        <f>+D14-D15</f>
        <v>-340850</v>
      </c>
      <c r="E16" s="73"/>
      <c r="F16" s="73"/>
      <c r="G16" s="73" t="s">
        <v>5</v>
      </c>
      <c r="H16" s="73">
        <f>+H14-H15</f>
        <v>-311850</v>
      </c>
      <c r="J16" s="80" t="s">
        <v>100</v>
      </c>
      <c r="K16" s="80"/>
      <c r="L16" s="58">
        <v>47250</v>
      </c>
      <c r="M16" s="58"/>
    </row>
    <row r="17" spans="2:14">
      <c r="B17" s="105"/>
      <c r="C17" s="105"/>
      <c r="D17" s="105"/>
      <c r="E17" s="105"/>
      <c r="F17" s="105"/>
      <c r="G17" s="105"/>
      <c r="H17" s="105"/>
      <c r="J17" s="80" t="s">
        <v>98</v>
      </c>
      <c r="K17" s="80"/>
      <c r="L17" s="58"/>
      <c r="M17" s="58"/>
    </row>
    <row r="18" spans="2:14" ht="15.75" thickBot="1">
      <c r="B18" s="105"/>
      <c r="C18" s="105"/>
      <c r="D18" s="105"/>
      <c r="E18" s="105"/>
      <c r="F18" s="105"/>
      <c r="G18" s="105"/>
      <c r="H18" s="105"/>
      <c r="J18" s="93" t="s">
        <v>99</v>
      </c>
      <c r="K18" s="93"/>
      <c r="L18" s="94">
        <f>SUM(L14:L17)</f>
        <v>659950</v>
      </c>
      <c r="M18" s="94">
        <f>SUM(M14:M17)</f>
        <v>0</v>
      </c>
    </row>
    <row r="19" spans="2:14" ht="15.75" thickTop="1">
      <c r="B19" s="105"/>
      <c r="C19" s="105"/>
      <c r="D19" s="105"/>
      <c r="E19" s="105"/>
      <c r="F19" s="105"/>
      <c r="G19" s="105"/>
      <c r="H19" s="105"/>
      <c r="I19" s="49"/>
      <c r="J19" s="82" t="s">
        <v>4</v>
      </c>
      <c r="K19" s="82"/>
      <c r="L19" s="83">
        <v>657100</v>
      </c>
      <c r="M19" s="83"/>
    </row>
    <row r="20" spans="2:14" ht="15.75" thickBot="1">
      <c r="B20" s="105"/>
      <c r="C20" s="105"/>
      <c r="D20" s="105"/>
      <c r="E20" s="105"/>
      <c r="F20" s="105"/>
      <c r="G20" s="105"/>
      <c r="H20" s="105"/>
      <c r="J20" s="95" t="s">
        <v>101</v>
      </c>
      <c r="K20" s="96"/>
      <c r="L20" s="97">
        <f>+L18-L19</f>
        <v>2850</v>
      </c>
      <c r="M20" s="97">
        <f>+M18-M19</f>
        <v>0</v>
      </c>
      <c r="N20" t="s">
        <v>45</v>
      </c>
    </row>
    <row r="21" spans="2:14" ht="15.75" thickTop="1">
      <c r="B21" s="105"/>
      <c r="C21" s="105"/>
      <c r="D21" s="105"/>
      <c r="E21" s="105"/>
      <c r="F21" s="105"/>
      <c r="G21" s="105"/>
      <c r="H21" s="105"/>
      <c r="L21" s="105"/>
    </row>
    <row r="22" spans="2:14">
      <c r="B22" s="105"/>
      <c r="C22" s="105"/>
      <c r="D22" s="105"/>
      <c r="E22" s="105"/>
      <c r="F22" s="105"/>
      <c r="G22" s="105"/>
      <c r="H22" s="105"/>
      <c r="L22" s="105"/>
    </row>
    <row r="23" spans="2:14">
      <c r="B23" s="105"/>
      <c r="C23" s="105"/>
      <c r="D23" s="105"/>
      <c r="E23" s="105"/>
      <c r="F23" s="105"/>
      <c r="G23" s="105"/>
      <c r="H23" s="105"/>
      <c r="L23" s="105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4:O23"/>
  <sheetViews>
    <sheetView workbookViewId="0">
      <selection activeCell="O21" sqref="O21"/>
    </sheetView>
  </sheetViews>
  <sheetFormatPr defaultRowHeight="15"/>
  <cols>
    <col min="8" max="8" width="10.7109375" customWidth="1"/>
    <col min="12" max="12" width="9.7109375" bestFit="1" customWidth="1"/>
  </cols>
  <sheetData>
    <row r="4" spans="1:15">
      <c r="B4" s="58"/>
      <c r="C4" s="58"/>
      <c r="D4" s="58"/>
      <c r="E4" s="32"/>
      <c r="F4" s="58"/>
      <c r="G4" s="58"/>
      <c r="H4" s="58"/>
      <c r="J4" s="58">
        <v>1000</v>
      </c>
      <c r="K4" s="108" t="s">
        <v>185</v>
      </c>
      <c r="L4" s="105"/>
      <c r="N4">
        <v>84300</v>
      </c>
    </row>
    <row r="5" spans="1:15">
      <c r="B5" s="58"/>
      <c r="C5" s="58"/>
      <c r="D5" s="58"/>
      <c r="E5" s="32"/>
      <c r="F5" s="58"/>
      <c r="G5" s="58"/>
      <c r="H5" s="58"/>
      <c r="J5" s="58">
        <v>500</v>
      </c>
      <c r="K5" s="108" t="s">
        <v>186</v>
      </c>
      <c r="L5" s="105"/>
      <c r="N5">
        <v>7500</v>
      </c>
    </row>
    <row r="6" spans="1:15">
      <c r="B6" s="58"/>
      <c r="C6" s="58"/>
      <c r="D6" s="58"/>
      <c r="E6" s="32"/>
      <c r="F6" s="58"/>
      <c r="G6" s="58"/>
      <c r="H6" s="58"/>
      <c r="J6" s="58">
        <v>1000</v>
      </c>
      <c r="K6" s="108" t="s">
        <v>187</v>
      </c>
      <c r="L6" s="105"/>
      <c r="N6">
        <v>155600</v>
      </c>
    </row>
    <row r="7" spans="1:15">
      <c r="B7" s="58"/>
      <c r="C7" s="58"/>
      <c r="D7" s="58"/>
      <c r="E7" s="32"/>
      <c r="F7" s="58"/>
      <c r="G7" s="58"/>
      <c r="H7" s="58"/>
      <c r="J7" s="58">
        <v>700</v>
      </c>
      <c r="K7" s="108" t="s">
        <v>188</v>
      </c>
      <c r="L7" s="105"/>
      <c r="N7">
        <v>145000</v>
      </c>
    </row>
    <row r="8" spans="1:15">
      <c r="B8" s="58"/>
      <c r="C8" s="58"/>
      <c r="D8" s="58"/>
      <c r="E8" s="32"/>
      <c r="F8" s="58"/>
      <c r="G8" s="58"/>
      <c r="H8" s="58"/>
      <c r="J8" s="58"/>
      <c r="K8" s="107"/>
      <c r="L8" s="105"/>
      <c r="N8">
        <v>96300</v>
      </c>
    </row>
    <row r="9" spans="1:15">
      <c r="B9" s="58"/>
      <c r="C9" s="58"/>
      <c r="D9" s="58"/>
      <c r="E9" s="32"/>
      <c r="F9" s="58"/>
      <c r="G9" s="58"/>
      <c r="H9" s="58"/>
      <c r="J9" s="58"/>
      <c r="K9" s="107"/>
      <c r="L9" s="105"/>
      <c r="N9">
        <v>130900</v>
      </c>
    </row>
    <row r="10" spans="1:15" ht="15.75" thickBot="1">
      <c r="B10" s="58"/>
      <c r="C10" s="58"/>
      <c r="D10" s="58"/>
      <c r="E10" s="32"/>
      <c r="F10" s="58"/>
      <c r="G10" s="58"/>
      <c r="H10" s="58"/>
      <c r="J10" s="76">
        <f>SUM(J2:J9)</f>
        <v>3200</v>
      </c>
      <c r="K10" s="107"/>
      <c r="L10" s="105"/>
      <c r="N10">
        <f>SUM(N4:N9)</f>
        <v>619600</v>
      </c>
    </row>
    <row r="11" spans="1:15" ht="15.75" thickTop="1">
      <c r="B11" s="58"/>
      <c r="C11" s="58"/>
      <c r="D11" s="58"/>
      <c r="E11" s="32"/>
      <c r="F11" s="58"/>
      <c r="G11" s="58"/>
      <c r="H11" s="58"/>
      <c r="L11" s="105"/>
    </row>
    <row r="12" spans="1:15">
      <c r="B12" s="58"/>
      <c r="C12" s="58"/>
      <c r="D12" s="58"/>
      <c r="E12" s="32"/>
      <c r="F12" s="58"/>
      <c r="G12" s="58"/>
      <c r="H12" s="58"/>
      <c r="J12" s="25"/>
      <c r="K12" s="33"/>
      <c r="L12" s="105"/>
      <c r="M12" s="49"/>
    </row>
    <row r="13" spans="1:15" ht="15.75" thickBot="1">
      <c r="A13" s="105"/>
      <c r="B13" s="72">
        <f>SUM(B2:B12)</f>
        <v>0</v>
      </c>
      <c r="C13" s="72">
        <f>SUM(C2:C12)</f>
        <v>0</v>
      </c>
      <c r="D13" s="72">
        <f>SUM(D2:D12)</f>
        <v>0</v>
      </c>
      <c r="E13" s="72"/>
      <c r="F13" s="72">
        <f>SUM(F2:F12)</f>
        <v>0</v>
      </c>
      <c r="G13" s="72">
        <f>SUM(G2:G12)</f>
        <v>0</v>
      </c>
      <c r="H13" s="72">
        <f>SUM(H2:H12)</f>
        <v>0</v>
      </c>
      <c r="I13" s="70">
        <f>+D14+H14</f>
        <v>0</v>
      </c>
      <c r="J13" s="105"/>
      <c r="K13" s="4"/>
      <c r="L13" s="98" t="s">
        <v>18</v>
      </c>
      <c r="M13" s="98" t="s">
        <v>129</v>
      </c>
      <c r="N13" s="105"/>
      <c r="O13" s="105"/>
    </row>
    <row r="14" spans="1:15" ht="15.75" thickTop="1">
      <c r="B14" s="105"/>
      <c r="C14" s="74" t="s">
        <v>1</v>
      </c>
      <c r="D14" s="75">
        <f>SUM(B13:D13)</f>
        <v>0</v>
      </c>
      <c r="E14" s="28"/>
      <c r="F14" s="28"/>
      <c r="G14" s="74" t="s">
        <v>17</v>
      </c>
      <c r="H14" s="75">
        <f>SUM(F13:H13)</f>
        <v>0</v>
      </c>
      <c r="J14" s="79" t="s">
        <v>97</v>
      </c>
      <c r="K14" s="79"/>
      <c r="L14" s="32">
        <f>+D15+H15</f>
        <v>672700</v>
      </c>
      <c r="M14" s="32">
        <f>+I13</f>
        <v>0</v>
      </c>
    </row>
    <row r="15" spans="1:15">
      <c r="B15" s="105"/>
      <c r="C15" s="105" t="s">
        <v>18</v>
      </c>
      <c r="D15" s="28">
        <v>431350</v>
      </c>
      <c r="E15" s="105"/>
      <c r="F15" s="105"/>
      <c r="G15" s="105" t="s">
        <v>18</v>
      </c>
      <c r="H15" s="105">
        <v>241350</v>
      </c>
      <c r="J15" s="80" t="s">
        <v>128</v>
      </c>
      <c r="K15" s="80"/>
      <c r="L15" s="58">
        <v>-165500</v>
      </c>
      <c r="M15" s="58"/>
    </row>
    <row r="16" spans="1:15">
      <c r="B16" s="105"/>
      <c r="C16" s="73" t="s">
        <v>5</v>
      </c>
      <c r="D16" s="73"/>
      <c r="E16" s="73"/>
      <c r="F16" s="73"/>
      <c r="G16" s="73" t="s">
        <v>5</v>
      </c>
      <c r="H16" s="73">
        <f>+H14-H15</f>
        <v>-241350</v>
      </c>
      <c r="J16" s="80" t="s">
        <v>100</v>
      </c>
      <c r="K16" s="80"/>
      <c r="L16" s="58">
        <f>105400+7000</f>
        <v>112400</v>
      </c>
      <c r="M16" s="58"/>
    </row>
    <row r="17" spans="2:14">
      <c r="B17" s="105"/>
      <c r="C17" s="105"/>
      <c r="D17" s="105"/>
      <c r="E17" s="105"/>
      <c r="F17" s="105"/>
      <c r="G17" s="105"/>
      <c r="H17" s="105"/>
      <c r="J17" s="80" t="s">
        <v>98</v>
      </c>
      <c r="K17" s="80"/>
      <c r="L17" s="58"/>
      <c r="M17" s="58"/>
    </row>
    <row r="18" spans="2:14" ht="15.75" thickBot="1">
      <c r="B18" s="105"/>
      <c r="C18" s="105"/>
      <c r="D18" s="105"/>
      <c r="E18" s="105"/>
      <c r="F18" s="105"/>
      <c r="G18" s="105"/>
      <c r="H18" s="105"/>
      <c r="J18" s="93" t="s">
        <v>99</v>
      </c>
      <c r="K18" s="93"/>
      <c r="L18" s="94">
        <f>SUM(L14:L17)</f>
        <v>619600</v>
      </c>
      <c r="M18" s="94">
        <f>SUM(M14:M17)</f>
        <v>0</v>
      </c>
      <c r="N18" s="49"/>
    </row>
    <row r="19" spans="2:14" ht="15.75" thickTop="1">
      <c r="B19" s="105"/>
      <c r="C19" s="105"/>
      <c r="D19" s="105"/>
      <c r="E19" s="105"/>
      <c r="F19" s="105">
        <f>99500-2300</f>
        <v>97200</v>
      </c>
      <c r="G19" s="105"/>
      <c r="H19" s="105"/>
      <c r="I19" s="49"/>
      <c r="J19" s="82" t="s">
        <v>4</v>
      </c>
      <c r="K19" s="82"/>
      <c r="L19" s="83">
        <f>622800-3200</f>
        <v>619600</v>
      </c>
      <c r="M19" s="83"/>
    </row>
    <row r="20" spans="2:14" ht="15.75" thickBot="1">
      <c r="B20" s="105"/>
      <c r="C20" s="105"/>
      <c r="D20" s="105"/>
      <c r="E20" s="105"/>
      <c r="F20" s="105"/>
      <c r="G20" s="105"/>
      <c r="H20" s="105"/>
      <c r="J20" s="95" t="s">
        <v>101</v>
      </c>
      <c r="K20" s="96"/>
      <c r="L20" s="97">
        <f>+L18-L19</f>
        <v>0</v>
      </c>
      <c r="M20" s="97">
        <f>+M18-M19</f>
        <v>0</v>
      </c>
      <c r="N20" t="s">
        <v>130</v>
      </c>
    </row>
    <row r="21" spans="2:14" ht="15.75" thickTop="1">
      <c r="B21" s="105"/>
      <c r="C21" s="105"/>
      <c r="D21" s="105"/>
      <c r="E21" s="105"/>
      <c r="F21" s="105"/>
      <c r="G21" s="105"/>
      <c r="H21" s="105"/>
      <c r="L21" s="105"/>
    </row>
    <row r="22" spans="2:14">
      <c r="B22" s="105"/>
      <c r="C22" s="105"/>
      <c r="D22" s="105"/>
      <c r="E22" s="105"/>
      <c r="F22" s="105"/>
      <c r="G22" s="105"/>
      <c r="H22" s="105"/>
      <c r="L22" s="105"/>
    </row>
    <row r="23" spans="2:14">
      <c r="B23" s="105"/>
      <c r="C23" s="105"/>
      <c r="D23" s="105"/>
      <c r="E23" s="105"/>
      <c r="F23" s="105"/>
      <c r="G23" s="105"/>
      <c r="H23" s="105"/>
      <c r="L23" s="105"/>
    </row>
  </sheetData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23"/>
  <sheetViews>
    <sheetView workbookViewId="0">
      <selection activeCell="O13" sqref="O13"/>
    </sheetView>
  </sheetViews>
  <sheetFormatPr defaultRowHeight="15"/>
  <cols>
    <col min="8" max="8" width="10.7109375" customWidth="1"/>
    <col min="12" max="12" width="9.7109375" bestFit="1" customWidth="1"/>
  </cols>
  <sheetData>
    <row r="4" spans="1:15">
      <c r="B4" s="58"/>
      <c r="C4" s="58"/>
      <c r="D4" s="58"/>
      <c r="E4" s="32"/>
      <c r="F4" s="58"/>
      <c r="G4" s="58"/>
      <c r="H4" s="58"/>
      <c r="J4" s="58">
        <v>3000</v>
      </c>
      <c r="K4" s="108" t="s">
        <v>198</v>
      </c>
      <c r="L4" s="105"/>
    </row>
    <row r="5" spans="1:15">
      <c r="B5" s="58"/>
      <c r="C5" s="58"/>
      <c r="D5" s="58"/>
      <c r="E5" s="32"/>
      <c r="F5" s="58"/>
      <c r="G5" s="58"/>
      <c r="H5" s="58"/>
      <c r="J5" s="58">
        <v>500</v>
      </c>
      <c r="K5" s="115" t="s">
        <v>206</v>
      </c>
      <c r="L5" s="116"/>
    </row>
    <row r="6" spans="1:15">
      <c r="B6" s="58"/>
      <c r="C6" s="58"/>
      <c r="D6" s="58"/>
      <c r="E6" s="32"/>
      <c r="F6" s="58"/>
      <c r="G6" s="58"/>
      <c r="H6" s="58"/>
      <c r="J6" s="58"/>
      <c r="K6" s="108"/>
      <c r="L6" s="105"/>
    </row>
    <row r="7" spans="1:15">
      <c r="B7" s="58"/>
      <c r="C7" s="58"/>
      <c r="D7" s="58"/>
      <c r="E7" s="32"/>
      <c r="F7" s="58"/>
      <c r="G7" s="58"/>
      <c r="H7" s="58"/>
      <c r="J7" s="58"/>
      <c r="K7" s="108"/>
      <c r="L7" s="105"/>
    </row>
    <row r="8" spans="1:15">
      <c r="B8" s="58"/>
      <c r="C8" s="58"/>
      <c r="D8" s="58"/>
      <c r="E8" s="32"/>
      <c r="F8" s="58"/>
      <c r="G8" s="58"/>
      <c r="H8" s="58"/>
      <c r="J8" s="58"/>
      <c r="K8" s="108"/>
      <c r="L8" s="105"/>
    </row>
    <row r="9" spans="1:15">
      <c r="B9" s="58"/>
      <c r="C9" s="58"/>
      <c r="D9" s="58"/>
      <c r="E9" s="32"/>
      <c r="F9" s="58"/>
      <c r="G9" s="58"/>
      <c r="H9" s="58"/>
      <c r="J9" s="58"/>
      <c r="K9" s="108"/>
      <c r="L9" s="105"/>
    </row>
    <row r="10" spans="1:15" ht="15.75" thickBot="1">
      <c r="B10" s="58"/>
      <c r="C10" s="58"/>
      <c r="D10" s="58"/>
      <c r="E10" s="32"/>
      <c r="F10" s="58"/>
      <c r="G10" s="58"/>
      <c r="H10" s="58"/>
      <c r="J10" s="76">
        <f>SUM(J2:J9)</f>
        <v>3500</v>
      </c>
      <c r="K10" s="108"/>
      <c r="L10" s="105"/>
    </row>
    <row r="11" spans="1:15" ht="15.75" thickTop="1">
      <c r="B11" s="58"/>
      <c r="C11" s="58"/>
      <c r="D11" s="58"/>
      <c r="E11" s="32"/>
      <c r="F11" s="58"/>
      <c r="G11" s="58"/>
      <c r="H11" s="58"/>
      <c r="L11" s="105"/>
    </row>
    <row r="12" spans="1:15">
      <c r="B12" s="58"/>
      <c r="C12" s="58"/>
      <c r="D12" s="58"/>
      <c r="E12" s="32"/>
      <c r="F12" s="58"/>
      <c r="G12" s="58"/>
      <c r="H12" s="58"/>
      <c r="J12" s="25"/>
      <c r="K12" s="33"/>
      <c r="L12" s="105"/>
      <c r="M12" s="49"/>
    </row>
    <row r="13" spans="1:15" ht="15.75" thickBot="1">
      <c r="A13" s="105"/>
      <c r="B13" s="72">
        <f>SUM(B2:B12)</f>
        <v>0</v>
      </c>
      <c r="C13" s="72">
        <f>SUM(C2:C12)</f>
        <v>0</v>
      </c>
      <c r="D13" s="72">
        <f>SUM(D2:D12)</f>
        <v>0</v>
      </c>
      <c r="E13" s="72"/>
      <c r="F13" s="72">
        <f>SUM(F2:F12)</f>
        <v>0</v>
      </c>
      <c r="G13" s="72">
        <f>SUM(G2:G12)</f>
        <v>0</v>
      </c>
      <c r="H13" s="72">
        <f>SUM(H2:H12)</f>
        <v>0</v>
      </c>
      <c r="I13" s="70">
        <f>+D14+H14</f>
        <v>0</v>
      </c>
      <c r="J13" s="105"/>
      <c r="K13" s="4"/>
      <c r="L13" s="98" t="s">
        <v>18</v>
      </c>
      <c r="M13" s="98" t="s">
        <v>129</v>
      </c>
      <c r="N13" s="105"/>
      <c r="O13" s="105"/>
    </row>
    <row r="14" spans="1:15" ht="15.75" thickTop="1">
      <c r="B14" s="105"/>
      <c r="C14" s="74" t="s">
        <v>1</v>
      </c>
      <c r="D14" s="75">
        <f>SUM(B13:D13)</f>
        <v>0</v>
      </c>
      <c r="E14" s="28"/>
      <c r="F14" s="28"/>
      <c r="G14" s="74" t="s">
        <v>17</v>
      </c>
      <c r="H14" s="75">
        <f>SUM(F13:H13)</f>
        <v>0</v>
      </c>
      <c r="J14" s="79" t="s">
        <v>97</v>
      </c>
      <c r="K14" s="79"/>
      <c r="L14" s="32">
        <f>+D15+H15</f>
        <v>799000</v>
      </c>
      <c r="M14" s="32">
        <f>+I13</f>
        <v>0</v>
      </c>
    </row>
    <row r="15" spans="1:15">
      <c r="B15" s="105"/>
      <c r="C15" s="105" t="s">
        <v>18</v>
      </c>
      <c r="D15" s="28">
        <v>414450</v>
      </c>
      <c r="E15" s="105"/>
      <c r="F15" s="105"/>
      <c r="G15" s="105" t="s">
        <v>18</v>
      </c>
      <c r="H15" s="105">
        <v>384550</v>
      </c>
      <c r="J15" s="80" t="s">
        <v>128</v>
      </c>
      <c r="K15" s="80"/>
      <c r="L15" s="58"/>
      <c r="M15" s="58"/>
    </row>
    <row r="16" spans="1:15">
      <c r="B16" s="105"/>
      <c r="C16" s="73" t="s">
        <v>5</v>
      </c>
      <c r="D16" s="73"/>
      <c r="E16" s="73"/>
      <c r="F16" s="73"/>
      <c r="G16" s="73" t="s">
        <v>5</v>
      </c>
      <c r="H16" s="73">
        <f>+H14-H15</f>
        <v>-384550</v>
      </c>
      <c r="J16" s="80" t="s">
        <v>100</v>
      </c>
      <c r="K16" s="80"/>
      <c r="L16" s="58">
        <v>45550</v>
      </c>
      <c r="M16" s="58"/>
    </row>
    <row r="17" spans="2:14">
      <c r="B17" s="105"/>
      <c r="C17" s="105"/>
      <c r="D17" s="105"/>
      <c r="E17" s="105"/>
      <c r="F17" s="105"/>
      <c r="G17" s="105"/>
      <c r="H17" s="105"/>
      <c r="J17" s="80" t="s">
        <v>98</v>
      </c>
      <c r="K17" s="80"/>
      <c r="L17" s="58"/>
      <c r="M17" s="58"/>
    </row>
    <row r="18" spans="2:14" ht="15.75" thickBot="1">
      <c r="B18" s="105"/>
      <c r="C18" s="105"/>
      <c r="D18" s="105"/>
      <c r="E18" s="105"/>
      <c r="F18" s="105"/>
      <c r="G18" s="105"/>
      <c r="H18" s="105"/>
      <c r="J18" s="93" t="s">
        <v>99</v>
      </c>
      <c r="K18" s="93"/>
      <c r="L18" s="94">
        <f>SUM(L14:L17)</f>
        <v>844550</v>
      </c>
      <c r="M18" s="94">
        <f>SUM(M14:M17)</f>
        <v>0</v>
      </c>
    </row>
    <row r="19" spans="2:14" ht="15.75" thickTop="1">
      <c r="B19" s="105"/>
      <c r="C19" s="105"/>
      <c r="D19" s="105"/>
      <c r="E19" s="105"/>
      <c r="F19" s="105"/>
      <c r="G19" s="105"/>
      <c r="H19" s="105"/>
      <c r="I19" s="49"/>
      <c r="J19" s="82" t="s">
        <v>4</v>
      </c>
      <c r="K19" s="82"/>
      <c r="L19" s="83">
        <v>845150</v>
      </c>
      <c r="M19" s="83"/>
    </row>
    <row r="20" spans="2:14" ht="15.75" thickBot="1">
      <c r="B20" s="105"/>
      <c r="C20" s="105"/>
      <c r="D20" s="105"/>
      <c r="E20" s="105"/>
      <c r="F20" s="105"/>
      <c r="G20" s="105"/>
      <c r="H20" s="105"/>
      <c r="J20" s="95" t="s">
        <v>101</v>
      </c>
      <c r="K20" s="96"/>
      <c r="L20" s="97">
        <f>+L18-L19</f>
        <v>-600</v>
      </c>
      <c r="M20" s="97">
        <f>+M18-M19</f>
        <v>0</v>
      </c>
      <c r="N20" t="s">
        <v>122</v>
      </c>
    </row>
    <row r="21" spans="2:14" ht="15.75" thickTop="1">
      <c r="B21" s="105"/>
      <c r="C21" s="105"/>
      <c r="D21" s="105"/>
      <c r="E21" s="105"/>
      <c r="F21" s="105"/>
      <c r="G21" s="105"/>
      <c r="H21" s="105"/>
      <c r="L21" s="105"/>
    </row>
    <row r="22" spans="2:14">
      <c r="B22" s="105"/>
      <c r="C22" s="105"/>
      <c r="D22" s="105"/>
      <c r="E22" s="105"/>
      <c r="F22" s="105"/>
      <c r="G22" s="105"/>
      <c r="H22" s="105"/>
      <c r="L22" s="105"/>
    </row>
    <row r="23" spans="2:14">
      <c r="B23" s="105"/>
      <c r="C23" s="105"/>
      <c r="D23" s="105"/>
      <c r="E23" s="105"/>
      <c r="F23" s="105"/>
      <c r="G23" s="105"/>
      <c r="H23" s="105"/>
      <c r="L23" s="105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3"/>
  <sheetViews>
    <sheetView topLeftCell="A13" workbookViewId="0">
      <selection activeCell="H34" sqref="H34"/>
    </sheetView>
  </sheetViews>
  <sheetFormatPr defaultRowHeight="15"/>
  <cols>
    <col min="1" max="1" width="2.85546875" customWidth="1"/>
    <col min="2" max="3" width="10.5703125" style="105" bestFit="1" customWidth="1"/>
    <col min="4" max="4" width="10.42578125" style="105" customWidth="1"/>
    <col min="5" max="5" width="2.28515625" style="105" customWidth="1"/>
    <col min="6" max="7" width="9.28515625" style="105" bestFit="1" customWidth="1"/>
    <col min="8" max="8" width="12.5703125" style="105" customWidth="1"/>
    <col min="9" max="9" width="10.28515625" customWidth="1"/>
    <col min="10" max="10" width="13.42578125" customWidth="1"/>
    <col min="11" max="11" width="9" customWidth="1"/>
    <col min="12" max="12" width="11.5703125" style="105" bestFit="1" customWidth="1"/>
  </cols>
  <sheetData>
    <row r="1" spans="2:11">
      <c r="B1" s="105" t="s">
        <v>1</v>
      </c>
      <c r="F1" s="105" t="s">
        <v>51</v>
      </c>
    </row>
    <row r="3" spans="2:11">
      <c r="B3" s="58"/>
      <c r="C3" s="58"/>
      <c r="D3" s="58"/>
      <c r="E3" s="32"/>
      <c r="F3" s="58"/>
      <c r="G3" s="58"/>
      <c r="H3" s="58"/>
    </row>
    <row r="4" spans="2:11">
      <c r="B4" s="58"/>
      <c r="C4" s="58"/>
      <c r="D4" s="58"/>
      <c r="E4" s="32"/>
      <c r="F4" s="58"/>
      <c r="G4" s="58"/>
      <c r="H4" s="58"/>
    </row>
    <row r="5" spans="2:11">
      <c r="B5" s="58"/>
      <c r="C5" s="58"/>
      <c r="D5" s="58"/>
      <c r="E5" s="32"/>
      <c r="F5" s="58"/>
      <c r="G5" s="58"/>
      <c r="H5" s="58"/>
      <c r="J5" t="s">
        <v>2</v>
      </c>
    </row>
    <row r="6" spans="2:11">
      <c r="B6" s="58"/>
      <c r="C6" s="58"/>
      <c r="D6" s="58"/>
      <c r="E6" s="32"/>
      <c r="F6" s="58"/>
      <c r="G6" s="58"/>
      <c r="H6" s="58"/>
      <c r="J6" s="58">
        <v>1000</v>
      </c>
      <c r="K6" t="s">
        <v>207</v>
      </c>
    </row>
    <row r="7" spans="2:11">
      <c r="B7" s="58"/>
      <c r="C7" s="58"/>
      <c r="D7" s="58"/>
      <c r="E7" s="32"/>
      <c r="F7" s="58"/>
      <c r="G7" s="58"/>
      <c r="H7" s="58"/>
      <c r="J7" s="58">
        <v>2000</v>
      </c>
      <c r="K7" s="115" t="s">
        <v>208</v>
      </c>
    </row>
    <row r="8" spans="2:11">
      <c r="B8" s="58"/>
      <c r="C8" s="58"/>
      <c r="D8" s="58"/>
      <c r="E8" s="32"/>
      <c r="F8" s="58"/>
      <c r="G8" s="58"/>
      <c r="H8" s="58"/>
      <c r="J8" s="58">
        <v>5000</v>
      </c>
      <c r="K8" s="115" t="s">
        <v>209</v>
      </c>
    </row>
    <row r="9" spans="2:11">
      <c r="B9" s="58"/>
      <c r="C9" s="58"/>
      <c r="D9" s="58"/>
      <c r="E9" s="32"/>
      <c r="F9" s="58"/>
      <c r="G9" s="58"/>
      <c r="H9" s="58"/>
      <c r="J9" s="117"/>
      <c r="K9" s="108"/>
    </row>
    <row r="10" spans="2:11">
      <c r="B10" s="58"/>
      <c r="C10" s="58"/>
      <c r="D10" s="58"/>
      <c r="E10" s="32"/>
      <c r="F10" s="58"/>
      <c r="G10" s="58"/>
      <c r="H10" s="58"/>
      <c r="J10" s="58"/>
      <c r="K10" s="108"/>
    </row>
    <row r="11" spans="2:11">
      <c r="B11" s="58"/>
      <c r="C11" s="58"/>
      <c r="D11" s="58"/>
      <c r="E11" s="32"/>
      <c r="F11" s="58"/>
      <c r="G11" s="58"/>
      <c r="H11" s="58"/>
      <c r="J11" s="58"/>
      <c r="K11" s="108"/>
    </row>
    <row r="12" spans="2:11">
      <c r="B12" s="58"/>
      <c r="C12" s="58"/>
      <c r="D12" s="58"/>
      <c r="E12" s="32"/>
      <c r="F12" s="58"/>
      <c r="G12" s="58"/>
      <c r="H12" s="58"/>
      <c r="J12" s="58"/>
      <c r="K12" s="108"/>
    </row>
    <row r="13" spans="2:11">
      <c r="B13" s="58"/>
      <c r="C13" s="58"/>
      <c r="D13" s="58"/>
      <c r="E13" s="32"/>
      <c r="F13" s="58"/>
      <c r="G13" s="58"/>
      <c r="H13" s="58"/>
      <c r="J13" s="58"/>
      <c r="K13" s="108"/>
    </row>
    <row r="14" spans="2:11">
      <c r="B14" s="58"/>
      <c r="C14" s="58"/>
      <c r="D14" s="58"/>
      <c r="E14" s="32"/>
      <c r="F14" s="58"/>
      <c r="G14" s="58"/>
      <c r="H14" s="58"/>
      <c r="J14" s="58"/>
      <c r="K14" s="108"/>
    </row>
    <row r="15" spans="2:11">
      <c r="B15" s="58"/>
      <c r="C15" s="58"/>
      <c r="D15" s="58"/>
      <c r="E15" s="32"/>
      <c r="F15" s="58"/>
      <c r="G15" s="58"/>
      <c r="H15" s="58"/>
      <c r="J15" s="58"/>
      <c r="K15" s="108"/>
    </row>
    <row r="16" spans="2:11">
      <c r="B16" s="58"/>
      <c r="C16" s="58"/>
      <c r="D16" s="58"/>
      <c r="E16" s="32"/>
      <c r="F16" s="58"/>
      <c r="G16" s="58"/>
      <c r="H16" s="58"/>
      <c r="J16" s="58"/>
      <c r="K16" s="108"/>
    </row>
    <row r="17" spans="2:14">
      <c r="B17" s="58"/>
      <c r="C17" s="58"/>
      <c r="D17" s="58"/>
      <c r="E17" s="32"/>
      <c r="F17" s="58"/>
      <c r="G17" s="58"/>
      <c r="H17" s="58"/>
      <c r="J17" s="58"/>
      <c r="K17" s="108"/>
    </row>
    <row r="18" spans="2:14">
      <c r="B18" s="58"/>
      <c r="C18" s="58"/>
      <c r="D18" s="58"/>
      <c r="E18" s="32"/>
      <c r="F18" s="58"/>
      <c r="G18" s="58"/>
      <c r="H18" s="58"/>
      <c r="J18" s="58"/>
      <c r="K18" s="108"/>
    </row>
    <row r="19" spans="2:14">
      <c r="B19" s="58"/>
      <c r="C19" s="58"/>
      <c r="D19" s="58"/>
      <c r="E19" s="32"/>
      <c r="F19" s="58"/>
      <c r="G19" s="58"/>
      <c r="H19" s="58"/>
      <c r="J19" s="58"/>
      <c r="K19" s="108"/>
    </row>
    <row r="20" spans="2:14">
      <c r="B20" s="58"/>
      <c r="C20" s="58"/>
      <c r="D20" s="58"/>
      <c r="E20" s="32"/>
      <c r="F20" s="58"/>
      <c r="G20" s="58"/>
      <c r="H20" s="58"/>
      <c r="J20" s="58"/>
      <c r="K20" s="108"/>
    </row>
    <row r="21" spans="2:14">
      <c r="B21" s="58"/>
      <c r="C21" s="58"/>
      <c r="D21" s="58"/>
      <c r="E21" s="32"/>
      <c r="F21" s="58"/>
      <c r="G21" s="58"/>
      <c r="H21" s="58"/>
      <c r="J21" s="58"/>
      <c r="K21" s="108"/>
    </row>
    <row r="22" spans="2:14" ht="15.75" thickBot="1">
      <c r="B22" s="58"/>
      <c r="C22" s="58"/>
      <c r="D22" s="58"/>
      <c r="E22" s="32"/>
      <c r="F22" s="58"/>
      <c r="G22" s="58"/>
      <c r="H22" s="58"/>
      <c r="J22" s="76">
        <f>SUM(J6:J21)</f>
        <v>8000</v>
      </c>
      <c r="K22" s="108"/>
    </row>
    <row r="23" spans="2:14" ht="15.75" thickTop="1">
      <c r="B23" s="58"/>
      <c r="C23" s="58"/>
      <c r="D23" s="58"/>
      <c r="E23" s="32"/>
      <c r="F23" s="58"/>
      <c r="G23" s="58"/>
      <c r="H23" s="58"/>
    </row>
    <row r="24" spans="2:14">
      <c r="B24" s="58"/>
      <c r="C24" s="58"/>
      <c r="D24" s="58"/>
      <c r="E24" s="32"/>
      <c r="F24" s="58"/>
      <c r="G24" s="58"/>
      <c r="H24" s="58"/>
      <c r="J24" s="25"/>
      <c r="K24" s="33"/>
      <c r="M24" s="49"/>
    </row>
    <row r="25" spans="2:14" s="105" customFormat="1" ht="15.75" thickBot="1">
      <c r="B25" s="72">
        <f>SUM(B3:B24)</f>
        <v>0</v>
      </c>
      <c r="C25" s="72">
        <f>SUM(C3:C24)</f>
        <v>0</v>
      </c>
      <c r="D25" s="72">
        <f>SUM(D3:D24)</f>
        <v>0</v>
      </c>
      <c r="E25" s="72"/>
      <c r="F25" s="72">
        <f>SUM(F3:F24)</f>
        <v>0</v>
      </c>
      <c r="G25" s="72">
        <f>SUM(G3:G24)</f>
        <v>0</v>
      </c>
      <c r="H25" s="72">
        <f>SUM(H3:H24)</f>
        <v>0</v>
      </c>
      <c r="I25" s="70">
        <f>+D26+H26</f>
        <v>0</v>
      </c>
      <c r="K25" s="4"/>
      <c r="L25" s="98" t="s">
        <v>18</v>
      </c>
      <c r="M25" s="98" t="s">
        <v>129</v>
      </c>
    </row>
    <row r="26" spans="2:14" ht="15.75" thickTop="1">
      <c r="C26" s="74" t="s">
        <v>1</v>
      </c>
      <c r="D26" s="75">
        <f>SUM(B25:D25)</f>
        <v>0</v>
      </c>
      <c r="E26" s="28"/>
      <c r="F26" s="28"/>
      <c r="G26" s="74" t="s">
        <v>17</v>
      </c>
      <c r="H26" s="75">
        <f>SUM(F25:H25)</f>
        <v>0</v>
      </c>
      <c r="J26" s="79" t="s">
        <v>97</v>
      </c>
      <c r="K26" s="79"/>
      <c r="L26" s="32">
        <f>+D27+H27</f>
        <v>731300</v>
      </c>
      <c r="M26" s="32">
        <f>+I25</f>
        <v>0</v>
      </c>
    </row>
    <row r="27" spans="2:14">
      <c r="C27" s="105" t="s">
        <v>18</v>
      </c>
      <c r="D27" s="28">
        <v>308500</v>
      </c>
      <c r="G27" s="105" t="s">
        <v>18</v>
      </c>
      <c r="H27" s="105">
        <v>422800</v>
      </c>
      <c r="J27" s="80" t="s">
        <v>128</v>
      </c>
      <c r="K27" s="80"/>
      <c r="L27" s="58"/>
      <c r="M27" s="58"/>
    </row>
    <row r="28" spans="2:14">
      <c r="C28" s="73" t="s">
        <v>5</v>
      </c>
      <c r="D28" s="73">
        <f>+D26-D27</f>
        <v>-308500</v>
      </c>
      <c r="E28" s="73"/>
      <c r="F28" s="73"/>
      <c r="G28" s="73" t="s">
        <v>5</v>
      </c>
      <c r="H28" s="73">
        <f>+H26-H27</f>
        <v>-422800</v>
      </c>
      <c r="J28" s="80" t="s">
        <v>100</v>
      </c>
      <c r="K28" s="80"/>
      <c r="L28" s="58">
        <f>9700+8000</f>
        <v>17700</v>
      </c>
      <c r="M28" s="58"/>
      <c r="N28">
        <v>25700</v>
      </c>
    </row>
    <row r="29" spans="2:14">
      <c r="J29" s="80" t="s">
        <v>98</v>
      </c>
      <c r="K29" s="80"/>
      <c r="L29" s="58"/>
      <c r="M29" s="58"/>
    </row>
    <row r="30" spans="2:14" ht="15.75" thickBot="1">
      <c r="J30" s="93" t="s">
        <v>99</v>
      </c>
      <c r="K30" s="93"/>
      <c r="L30" s="94">
        <f>SUM(L26:L29)</f>
        <v>749000</v>
      </c>
      <c r="M30" s="94">
        <f>SUM(M26:M29)</f>
        <v>0</v>
      </c>
    </row>
    <row r="31" spans="2:14" ht="15.75" thickTop="1">
      <c r="I31" s="49"/>
      <c r="J31" s="82" t="s">
        <v>4</v>
      </c>
      <c r="K31" s="82"/>
      <c r="L31" s="83">
        <v>748500</v>
      </c>
      <c r="M31" s="83"/>
    </row>
    <row r="32" spans="2:14" ht="15.75" thickBot="1">
      <c r="J32" s="95" t="s">
        <v>101</v>
      </c>
      <c r="K32" s="96"/>
      <c r="L32" s="97">
        <f>+L30-L31</f>
        <v>500</v>
      </c>
      <c r="M32" s="97">
        <f>+M30-M31</f>
        <v>0</v>
      </c>
      <c r="N32" t="s">
        <v>130</v>
      </c>
    </row>
    <row r="33" ht="15.75" thickTop="1"/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3"/>
  <sheetViews>
    <sheetView topLeftCell="A14" workbookViewId="0">
      <selection activeCell="O33" sqref="O33"/>
    </sheetView>
  </sheetViews>
  <sheetFormatPr defaultRowHeight="15"/>
  <cols>
    <col min="1" max="1" width="2.85546875" customWidth="1"/>
    <col min="2" max="3" width="10.5703125" style="105" bestFit="1" customWidth="1"/>
    <col min="4" max="4" width="10.42578125" style="105" customWidth="1"/>
    <col min="5" max="5" width="2.28515625" style="105" customWidth="1"/>
    <col min="6" max="7" width="9.28515625" style="105" bestFit="1" customWidth="1"/>
    <col min="8" max="8" width="12.5703125" style="105" customWidth="1"/>
    <col min="9" max="9" width="10.28515625" customWidth="1"/>
    <col min="10" max="10" width="13.42578125" customWidth="1"/>
    <col min="11" max="11" width="9" customWidth="1"/>
    <col min="12" max="12" width="11.5703125" style="105" bestFit="1" customWidth="1"/>
  </cols>
  <sheetData>
    <row r="1" spans="2:11">
      <c r="B1" s="105" t="s">
        <v>1</v>
      </c>
      <c r="F1" s="105" t="s">
        <v>51</v>
      </c>
    </row>
    <row r="3" spans="2:11">
      <c r="B3" s="58"/>
      <c r="C3" s="58"/>
      <c r="D3" s="58"/>
      <c r="E3" s="32"/>
      <c r="F3" s="58"/>
      <c r="G3" s="58"/>
      <c r="H3" s="58"/>
    </row>
    <row r="4" spans="2:11">
      <c r="B4" s="58"/>
      <c r="C4" s="58"/>
      <c r="D4" s="58"/>
      <c r="E4" s="32"/>
      <c r="F4" s="58"/>
      <c r="G4" s="58"/>
      <c r="H4" s="58"/>
    </row>
    <row r="5" spans="2:11">
      <c r="B5" s="58"/>
      <c r="C5" s="58"/>
      <c r="D5" s="58"/>
      <c r="E5" s="32"/>
      <c r="F5" s="58"/>
      <c r="G5" s="58"/>
      <c r="H5" s="58"/>
      <c r="J5" t="s">
        <v>2</v>
      </c>
    </row>
    <row r="6" spans="2:11">
      <c r="B6" s="58"/>
      <c r="C6" s="58"/>
      <c r="D6" s="58"/>
      <c r="E6" s="32"/>
      <c r="F6" s="58"/>
      <c r="G6" s="58"/>
      <c r="H6" s="58"/>
      <c r="J6" s="58">
        <v>500</v>
      </c>
      <c r="K6" t="s">
        <v>211</v>
      </c>
    </row>
    <row r="7" spans="2:11">
      <c r="B7" s="58"/>
      <c r="C7" s="58"/>
      <c r="D7" s="58"/>
      <c r="E7" s="32"/>
      <c r="F7" s="58"/>
      <c r="G7" s="58"/>
      <c r="H7" s="58"/>
      <c r="J7" s="58">
        <v>1000</v>
      </c>
      <c r="K7" s="115" t="s">
        <v>210</v>
      </c>
    </row>
    <row r="8" spans="2:11">
      <c r="B8" s="58"/>
      <c r="C8" s="58"/>
      <c r="D8" s="58"/>
      <c r="E8" s="32"/>
      <c r="F8" s="58"/>
      <c r="G8" s="58"/>
      <c r="H8" s="58"/>
      <c r="J8" s="58"/>
      <c r="K8" s="115"/>
    </row>
    <row r="9" spans="2:11">
      <c r="B9" s="58"/>
      <c r="C9" s="58"/>
      <c r="D9" s="58"/>
      <c r="E9" s="32"/>
      <c r="F9" s="58"/>
      <c r="G9" s="58"/>
      <c r="H9" s="58"/>
      <c r="J9" s="117"/>
      <c r="K9" s="108"/>
    </row>
    <row r="10" spans="2:11">
      <c r="B10" s="58"/>
      <c r="C10" s="58"/>
      <c r="D10" s="58"/>
      <c r="E10" s="32"/>
      <c r="F10" s="58"/>
      <c r="G10" s="58"/>
      <c r="H10" s="58"/>
      <c r="J10" s="58"/>
      <c r="K10" s="108"/>
    </row>
    <row r="11" spans="2:11">
      <c r="B11" s="58"/>
      <c r="C11" s="58"/>
      <c r="D11" s="58"/>
      <c r="E11" s="32"/>
      <c r="F11" s="58"/>
      <c r="G11" s="58"/>
      <c r="H11" s="58"/>
      <c r="J11" s="58"/>
      <c r="K11" s="108"/>
    </row>
    <row r="12" spans="2:11">
      <c r="B12" s="58"/>
      <c r="C12" s="58"/>
      <c r="D12" s="58"/>
      <c r="E12" s="32"/>
      <c r="F12" s="58"/>
      <c r="G12" s="58"/>
      <c r="H12" s="58"/>
      <c r="J12" s="58"/>
      <c r="K12" s="108"/>
    </row>
    <row r="13" spans="2:11">
      <c r="B13" s="58"/>
      <c r="C13" s="58"/>
      <c r="D13" s="58"/>
      <c r="E13" s="32"/>
      <c r="F13" s="58"/>
      <c r="G13" s="58"/>
      <c r="H13" s="58"/>
      <c r="J13" s="58"/>
      <c r="K13" s="108"/>
    </row>
    <row r="14" spans="2:11">
      <c r="B14" s="58"/>
      <c r="C14" s="58"/>
      <c r="D14" s="58"/>
      <c r="E14" s="32"/>
      <c r="F14" s="58"/>
      <c r="G14" s="58"/>
      <c r="H14" s="58"/>
      <c r="J14" s="58"/>
      <c r="K14" s="108"/>
    </row>
    <row r="15" spans="2:11">
      <c r="B15" s="58"/>
      <c r="C15" s="58"/>
      <c r="D15" s="58"/>
      <c r="E15" s="32"/>
      <c r="F15" s="58"/>
      <c r="G15" s="58"/>
      <c r="H15" s="58"/>
      <c r="J15" s="58"/>
      <c r="K15" s="108"/>
    </row>
    <row r="16" spans="2:11">
      <c r="B16" s="58"/>
      <c r="C16" s="58"/>
      <c r="D16" s="58"/>
      <c r="E16" s="32"/>
      <c r="F16" s="58"/>
      <c r="G16" s="58"/>
      <c r="H16" s="58"/>
      <c r="J16" s="58"/>
      <c r="K16" s="108"/>
    </row>
    <row r="17" spans="2:14">
      <c r="B17" s="58"/>
      <c r="C17" s="58"/>
      <c r="D17" s="58"/>
      <c r="E17" s="32"/>
      <c r="F17" s="58"/>
      <c r="G17" s="58"/>
      <c r="H17" s="58"/>
      <c r="J17" s="58"/>
      <c r="K17" s="108"/>
    </row>
    <row r="18" spans="2:14">
      <c r="B18" s="58"/>
      <c r="C18" s="58"/>
      <c r="D18" s="58"/>
      <c r="E18" s="32"/>
      <c r="F18" s="58"/>
      <c r="G18" s="58"/>
      <c r="H18" s="58"/>
      <c r="J18" s="58"/>
      <c r="K18" s="108"/>
    </row>
    <row r="19" spans="2:14">
      <c r="B19" s="58"/>
      <c r="C19" s="58"/>
      <c r="D19" s="58"/>
      <c r="E19" s="32"/>
      <c r="F19" s="58"/>
      <c r="G19" s="58"/>
      <c r="H19" s="58"/>
      <c r="J19" s="58"/>
      <c r="K19" s="108"/>
    </row>
    <row r="20" spans="2:14">
      <c r="B20" s="58"/>
      <c r="C20" s="58"/>
      <c r="D20" s="58"/>
      <c r="E20" s="32"/>
      <c r="F20" s="58"/>
      <c r="G20" s="58"/>
      <c r="H20" s="58"/>
      <c r="J20" s="58"/>
      <c r="K20" s="108"/>
    </row>
    <row r="21" spans="2:14">
      <c r="B21" s="58"/>
      <c r="C21" s="58"/>
      <c r="D21" s="58"/>
      <c r="E21" s="32"/>
      <c r="F21" s="58"/>
      <c r="G21" s="58"/>
      <c r="H21" s="58"/>
      <c r="J21" s="58"/>
      <c r="K21" s="108"/>
    </row>
    <row r="22" spans="2:14" ht="15.75" thickBot="1">
      <c r="B22" s="58"/>
      <c r="C22" s="58"/>
      <c r="D22" s="58"/>
      <c r="E22" s="32"/>
      <c r="F22" s="58"/>
      <c r="G22" s="58"/>
      <c r="H22" s="58"/>
      <c r="J22" s="76">
        <f>SUM(J6:J21)</f>
        <v>1500</v>
      </c>
      <c r="K22" s="108"/>
    </row>
    <row r="23" spans="2:14" ht="15.75" thickTop="1">
      <c r="B23" s="58"/>
      <c r="C23" s="58"/>
      <c r="D23" s="58"/>
      <c r="E23" s="32"/>
      <c r="F23" s="58"/>
      <c r="G23" s="58"/>
      <c r="H23" s="58"/>
    </row>
    <row r="24" spans="2:14">
      <c r="B24" s="58"/>
      <c r="C24" s="58"/>
      <c r="D24" s="58"/>
      <c r="E24" s="32"/>
      <c r="F24" s="58"/>
      <c r="G24" s="58"/>
      <c r="H24" s="58"/>
      <c r="J24" s="25"/>
      <c r="K24" s="33"/>
      <c r="M24" s="49"/>
    </row>
    <row r="25" spans="2:14" s="105" customFormat="1" ht="15.75" thickBot="1">
      <c r="B25" s="72">
        <f>SUM(B3:B24)</f>
        <v>0</v>
      </c>
      <c r="C25" s="72">
        <f>SUM(C3:C24)</f>
        <v>0</v>
      </c>
      <c r="D25" s="72">
        <f>SUM(D3:D24)</f>
        <v>0</v>
      </c>
      <c r="E25" s="72"/>
      <c r="F25" s="72">
        <f>SUM(F3:F24)</f>
        <v>0</v>
      </c>
      <c r="G25" s="72">
        <f>SUM(G3:G24)</f>
        <v>0</v>
      </c>
      <c r="H25" s="72">
        <f>SUM(H3:H24)</f>
        <v>0</v>
      </c>
      <c r="I25" s="70">
        <f>+D26+H26</f>
        <v>0</v>
      </c>
      <c r="K25" s="4"/>
      <c r="L25" s="98" t="s">
        <v>18</v>
      </c>
      <c r="M25" s="98" t="s">
        <v>129</v>
      </c>
    </row>
    <row r="26" spans="2:14" ht="15.75" thickTop="1">
      <c r="C26" s="74" t="s">
        <v>1</v>
      </c>
      <c r="D26" s="75">
        <f>SUM(B25:D25)</f>
        <v>0</v>
      </c>
      <c r="E26" s="28"/>
      <c r="F26" s="28"/>
      <c r="G26" s="74" t="s">
        <v>17</v>
      </c>
      <c r="H26" s="75">
        <f>SUM(F25:H25)</f>
        <v>0</v>
      </c>
      <c r="J26" s="79" t="s">
        <v>97</v>
      </c>
      <c r="K26" s="79"/>
      <c r="L26" s="32">
        <f>+D27+H27</f>
        <v>543850</v>
      </c>
      <c r="M26" s="32">
        <f>+I25</f>
        <v>0</v>
      </c>
    </row>
    <row r="27" spans="2:14">
      <c r="C27" s="105" t="s">
        <v>18</v>
      </c>
      <c r="D27" s="28">
        <v>277750</v>
      </c>
      <c r="G27" s="105" t="s">
        <v>18</v>
      </c>
      <c r="H27" s="105">
        <v>266100</v>
      </c>
      <c r="J27" s="80" t="s">
        <v>128</v>
      </c>
      <c r="K27" s="80"/>
      <c r="L27" s="58"/>
      <c r="M27" s="58"/>
    </row>
    <row r="28" spans="2:14">
      <c r="C28" s="73" t="s">
        <v>5</v>
      </c>
      <c r="D28" s="73">
        <f>+D26-D27</f>
        <v>-277750</v>
      </c>
      <c r="E28" s="73"/>
      <c r="F28" s="73"/>
      <c r="G28" s="73" t="s">
        <v>5</v>
      </c>
      <c r="H28" s="73">
        <f>+H26-H27</f>
        <v>-266100</v>
      </c>
      <c r="J28" s="80" t="s">
        <v>100</v>
      </c>
      <c r="K28" s="80"/>
      <c r="L28" s="58">
        <f>28150+1500</f>
        <v>29650</v>
      </c>
      <c r="M28" s="58"/>
    </row>
    <row r="29" spans="2:14">
      <c r="J29" s="80" t="s">
        <v>98</v>
      </c>
      <c r="K29" s="80"/>
      <c r="L29" s="58">
        <v>10200</v>
      </c>
      <c r="M29" s="58"/>
    </row>
    <row r="30" spans="2:14" ht="15.75" thickBot="1">
      <c r="J30" s="93" t="s">
        <v>99</v>
      </c>
      <c r="K30" s="93"/>
      <c r="L30" s="94">
        <f>SUM(L26:L29)</f>
        <v>583700</v>
      </c>
      <c r="M30" s="94">
        <f>SUM(M26:M29)</f>
        <v>0</v>
      </c>
    </row>
    <row r="31" spans="2:14" ht="15.75" thickTop="1">
      <c r="I31" s="49"/>
      <c r="J31" s="82" t="s">
        <v>4</v>
      </c>
      <c r="K31" s="82"/>
      <c r="L31" s="83">
        <v>580850</v>
      </c>
      <c r="M31" s="83"/>
    </row>
    <row r="32" spans="2:14" ht="15.75" thickBot="1">
      <c r="J32" s="95" t="s">
        <v>101</v>
      </c>
      <c r="K32" s="96"/>
      <c r="L32" s="97">
        <f>+L30-L31</f>
        <v>2850</v>
      </c>
      <c r="M32" s="97">
        <f>+M30-M31</f>
        <v>0</v>
      </c>
      <c r="N32" t="s">
        <v>39</v>
      </c>
    </row>
    <row r="33" ht="15.75" thickTop="1"/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N33"/>
  <sheetViews>
    <sheetView topLeftCell="A14" workbookViewId="0">
      <selection activeCell="H32" sqref="H32"/>
    </sheetView>
  </sheetViews>
  <sheetFormatPr defaultRowHeight="15"/>
  <cols>
    <col min="1" max="1" width="2.85546875" customWidth="1"/>
    <col min="2" max="3" width="10.5703125" style="105" bestFit="1" customWidth="1"/>
    <col min="4" max="4" width="10.42578125" style="105" customWidth="1"/>
    <col min="5" max="5" width="2.28515625" style="105" customWidth="1"/>
    <col min="6" max="7" width="9.28515625" style="105" bestFit="1" customWidth="1"/>
    <col min="8" max="8" width="12.5703125" style="105" customWidth="1"/>
    <col min="9" max="9" width="10.28515625" customWidth="1"/>
    <col min="10" max="10" width="13.42578125" customWidth="1"/>
    <col min="11" max="11" width="9" customWidth="1"/>
    <col min="12" max="12" width="11.5703125" style="105" bestFit="1" customWidth="1"/>
  </cols>
  <sheetData>
    <row r="1" spans="2:12">
      <c r="B1" s="105" t="s">
        <v>1</v>
      </c>
      <c r="F1" s="105" t="s">
        <v>51</v>
      </c>
    </row>
    <row r="3" spans="2:12">
      <c r="B3" s="58"/>
      <c r="C3" s="58"/>
      <c r="D3" s="58"/>
      <c r="E3" s="32"/>
      <c r="F3" s="58"/>
      <c r="G3" s="58"/>
      <c r="H3" s="58"/>
    </row>
    <row r="4" spans="2:12">
      <c r="B4" s="58"/>
      <c r="C4" s="58"/>
      <c r="D4" s="58"/>
      <c r="E4" s="32"/>
      <c r="F4" s="58"/>
      <c r="G4" s="58"/>
      <c r="H4" s="58"/>
    </row>
    <row r="5" spans="2:12">
      <c r="B5" s="58"/>
      <c r="C5" s="58"/>
      <c r="D5" s="58"/>
      <c r="E5" s="32"/>
      <c r="F5" s="58"/>
      <c r="G5" s="58"/>
      <c r="H5" s="58"/>
      <c r="J5" t="s">
        <v>2</v>
      </c>
    </row>
    <row r="6" spans="2:12">
      <c r="B6" s="58"/>
      <c r="C6" s="58"/>
      <c r="D6" s="58"/>
      <c r="E6" s="32"/>
      <c r="F6" s="58"/>
      <c r="G6" s="58"/>
      <c r="H6" s="58"/>
      <c r="J6" s="58">
        <v>400</v>
      </c>
      <c r="K6" t="s">
        <v>215</v>
      </c>
    </row>
    <row r="7" spans="2:12">
      <c r="B7" s="58"/>
      <c r="C7" s="58"/>
      <c r="D7" s="58"/>
      <c r="E7" s="32"/>
      <c r="F7" s="58"/>
      <c r="G7" s="58"/>
      <c r="H7" s="58"/>
      <c r="J7" s="58">
        <v>2500</v>
      </c>
      <c r="K7" s="115" t="s">
        <v>216</v>
      </c>
    </row>
    <row r="8" spans="2:12">
      <c r="B8" s="58"/>
      <c r="C8" s="58"/>
      <c r="D8" s="58"/>
      <c r="E8" s="32"/>
      <c r="F8" s="58"/>
      <c r="G8" s="58"/>
      <c r="H8" s="58"/>
      <c r="J8" s="58">
        <v>4000</v>
      </c>
      <c r="K8" s="115" t="s">
        <v>217</v>
      </c>
    </row>
    <row r="9" spans="2:12">
      <c r="B9" s="58"/>
      <c r="C9" s="58"/>
      <c r="D9" s="58"/>
      <c r="E9" s="32"/>
      <c r="F9" s="58"/>
      <c r="G9" s="58"/>
      <c r="H9" s="58"/>
      <c r="J9" s="117">
        <v>500</v>
      </c>
      <c r="K9" s="115" t="s">
        <v>218</v>
      </c>
    </row>
    <row r="10" spans="2:12">
      <c r="B10" s="58"/>
      <c r="C10" s="58"/>
      <c r="D10" s="58"/>
      <c r="E10" s="32"/>
      <c r="F10" s="58"/>
      <c r="G10" s="58"/>
      <c r="H10" s="58"/>
      <c r="J10" s="58">
        <v>500</v>
      </c>
      <c r="K10" s="115" t="s">
        <v>219</v>
      </c>
    </row>
    <row r="11" spans="2:12">
      <c r="B11" s="58"/>
      <c r="C11" s="58"/>
      <c r="D11" s="58"/>
      <c r="E11" s="32"/>
      <c r="F11" s="58"/>
      <c r="G11" s="58"/>
      <c r="H11" s="58"/>
      <c r="J11" s="58">
        <v>1000</v>
      </c>
      <c r="K11" s="115" t="s">
        <v>220</v>
      </c>
    </row>
    <row r="12" spans="2:12">
      <c r="B12" s="58"/>
      <c r="C12" s="58"/>
      <c r="D12" s="58"/>
      <c r="E12" s="32"/>
      <c r="F12" s="58"/>
      <c r="G12" s="58"/>
      <c r="H12" s="58"/>
      <c r="J12" s="58">
        <v>500</v>
      </c>
      <c r="K12" s="115" t="s">
        <v>219</v>
      </c>
      <c r="L12" s="116" t="s">
        <v>221</v>
      </c>
    </row>
    <row r="13" spans="2:12">
      <c r="B13" s="58"/>
      <c r="C13" s="58"/>
      <c r="D13" s="58"/>
      <c r="E13" s="32"/>
      <c r="F13" s="58"/>
      <c r="G13" s="58"/>
      <c r="H13" s="58"/>
      <c r="J13" s="58"/>
      <c r="K13" s="108"/>
    </row>
    <row r="14" spans="2:12">
      <c r="B14" s="58"/>
      <c r="C14" s="58"/>
      <c r="D14" s="58"/>
      <c r="E14" s="32"/>
      <c r="F14" s="58"/>
      <c r="G14" s="58"/>
      <c r="H14" s="58"/>
      <c r="J14" s="58"/>
      <c r="K14" s="108"/>
    </row>
    <row r="15" spans="2:12">
      <c r="B15" s="58"/>
      <c r="C15" s="58"/>
      <c r="D15" s="58"/>
      <c r="E15" s="32"/>
      <c r="F15" s="58"/>
      <c r="G15" s="58"/>
      <c r="H15" s="58"/>
      <c r="J15" s="58"/>
      <c r="K15" s="108"/>
    </row>
    <row r="16" spans="2:12">
      <c r="B16" s="58"/>
      <c r="C16" s="58"/>
      <c r="D16" s="58"/>
      <c r="E16" s="32"/>
      <c r="F16" s="58"/>
      <c r="G16" s="58"/>
      <c r="H16" s="58"/>
      <c r="J16" s="58"/>
      <c r="K16" s="108"/>
    </row>
    <row r="17" spans="2:14">
      <c r="B17" s="58"/>
      <c r="C17" s="58"/>
      <c r="D17" s="58"/>
      <c r="E17" s="32"/>
      <c r="F17" s="58"/>
      <c r="G17" s="58"/>
      <c r="H17" s="58"/>
      <c r="J17" s="58"/>
      <c r="K17" s="108"/>
    </row>
    <row r="18" spans="2:14">
      <c r="B18" s="58"/>
      <c r="C18" s="58"/>
      <c r="D18" s="58"/>
      <c r="E18" s="32"/>
      <c r="F18" s="58"/>
      <c r="G18" s="58"/>
      <c r="H18" s="58"/>
      <c r="J18" s="58"/>
      <c r="K18" s="108"/>
    </row>
    <row r="19" spans="2:14">
      <c r="B19" s="58"/>
      <c r="C19" s="58"/>
      <c r="D19" s="58"/>
      <c r="E19" s="32"/>
      <c r="F19" s="58"/>
      <c r="G19" s="58"/>
      <c r="H19" s="58"/>
      <c r="J19" s="58"/>
      <c r="K19" s="108"/>
    </row>
    <row r="20" spans="2:14">
      <c r="B20" s="58"/>
      <c r="C20" s="58"/>
      <c r="D20" s="58"/>
      <c r="E20" s="32"/>
      <c r="F20" s="58"/>
      <c r="G20" s="58"/>
      <c r="H20" s="58"/>
      <c r="J20" s="58"/>
      <c r="K20" s="108"/>
    </row>
    <row r="21" spans="2:14">
      <c r="B21" s="58"/>
      <c r="C21" s="58"/>
      <c r="D21" s="58"/>
      <c r="E21" s="32"/>
      <c r="F21" s="58"/>
      <c r="G21" s="58"/>
      <c r="H21" s="58"/>
      <c r="J21" s="58"/>
      <c r="K21" s="108"/>
    </row>
    <row r="22" spans="2:14" ht="15.75" thickBot="1">
      <c r="B22" s="58"/>
      <c r="C22" s="58"/>
      <c r="D22" s="58"/>
      <c r="E22" s="32"/>
      <c r="F22" s="58"/>
      <c r="G22" s="58"/>
      <c r="H22" s="58"/>
      <c r="J22" s="76">
        <f>SUM(J6:J21)</f>
        <v>9400</v>
      </c>
      <c r="K22" s="108"/>
    </row>
    <row r="23" spans="2:14" ht="15.75" thickTop="1">
      <c r="B23" s="58"/>
      <c r="C23" s="58"/>
      <c r="D23" s="58"/>
      <c r="E23" s="32"/>
      <c r="F23" s="58"/>
      <c r="G23" s="58"/>
      <c r="H23" s="58"/>
    </row>
    <row r="24" spans="2:14">
      <c r="B24" s="58"/>
      <c r="C24" s="58"/>
      <c r="D24" s="58"/>
      <c r="E24" s="32"/>
      <c r="F24" s="58"/>
      <c r="G24" s="58"/>
      <c r="H24" s="58"/>
      <c r="J24" s="25"/>
      <c r="K24" s="33"/>
      <c r="M24" s="49"/>
    </row>
    <row r="25" spans="2:14" s="105" customFormat="1" ht="15.75" thickBot="1">
      <c r="B25" s="72">
        <f>SUM(B3:B24)</f>
        <v>0</v>
      </c>
      <c r="C25" s="72">
        <f>SUM(C3:C24)</f>
        <v>0</v>
      </c>
      <c r="D25" s="72">
        <f>SUM(D3:D24)</f>
        <v>0</v>
      </c>
      <c r="E25" s="72"/>
      <c r="F25" s="72">
        <f>SUM(F3:F24)</f>
        <v>0</v>
      </c>
      <c r="G25" s="72">
        <f>SUM(G3:G24)</f>
        <v>0</v>
      </c>
      <c r="H25" s="72">
        <f>SUM(H3:H24)</f>
        <v>0</v>
      </c>
      <c r="I25" s="70">
        <f>+D26+H26</f>
        <v>0</v>
      </c>
      <c r="K25" s="4"/>
      <c r="L25" s="98" t="s">
        <v>18</v>
      </c>
      <c r="M25" s="98" t="s">
        <v>129</v>
      </c>
    </row>
    <row r="26" spans="2:14" ht="15.75" thickTop="1">
      <c r="C26" s="74" t="s">
        <v>1</v>
      </c>
      <c r="D26" s="75">
        <f>SUM(B25:D25)</f>
        <v>0</v>
      </c>
      <c r="E26" s="28"/>
      <c r="F26" s="28"/>
      <c r="G26" s="74" t="s">
        <v>17</v>
      </c>
      <c r="H26" s="75">
        <f>SUM(F25:H25)</f>
        <v>0</v>
      </c>
      <c r="J26" s="79" t="s">
        <v>97</v>
      </c>
      <c r="K26" s="79"/>
      <c r="L26" s="32">
        <f>+D27+H27</f>
        <v>627550</v>
      </c>
      <c r="M26" s="32">
        <f>+I25</f>
        <v>0</v>
      </c>
    </row>
    <row r="27" spans="2:14">
      <c r="C27" s="105" t="s">
        <v>18</v>
      </c>
      <c r="D27" s="28">
        <v>268400</v>
      </c>
      <c r="G27" s="105" t="s">
        <v>18</v>
      </c>
      <c r="H27" s="105">
        <v>359150</v>
      </c>
      <c r="J27" s="80" t="s">
        <v>128</v>
      </c>
      <c r="K27" s="80"/>
      <c r="L27" s="58"/>
      <c r="M27" s="58"/>
    </row>
    <row r="28" spans="2:14">
      <c r="C28" s="73" t="s">
        <v>5</v>
      </c>
      <c r="D28" s="73">
        <f>+D26-D27</f>
        <v>-268400</v>
      </c>
      <c r="E28" s="73"/>
      <c r="F28" s="73"/>
      <c r="G28" s="73" t="s">
        <v>5</v>
      </c>
      <c r="H28" s="73">
        <f>+H26-H27</f>
        <v>-359150</v>
      </c>
      <c r="J28" s="80" t="s">
        <v>100</v>
      </c>
      <c r="K28" s="80"/>
      <c r="L28" s="58">
        <f>43600+100</f>
        <v>43700</v>
      </c>
      <c r="M28" s="58"/>
    </row>
    <row r="29" spans="2:14">
      <c r="J29" s="80" t="s">
        <v>98</v>
      </c>
      <c r="K29" s="80"/>
      <c r="L29" s="58"/>
      <c r="M29" s="58"/>
    </row>
    <row r="30" spans="2:14" ht="15.75" thickBot="1">
      <c r="J30" s="93" t="s">
        <v>99</v>
      </c>
      <c r="K30" s="93"/>
      <c r="L30" s="94">
        <f>SUM(L26:L29)</f>
        <v>671250</v>
      </c>
      <c r="M30" s="94">
        <f>SUM(M26:M29)</f>
        <v>0</v>
      </c>
    </row>
    <row r="31" spans="2:14" ht="15.75" thickTop="1">
      <c r="I31" s="49"/>
      <c r="J31" s="82" t="s">
        <v>4</v>
      </c>
      <c r="K31" s="82"/>
      <c r="L31" s="83">
        <f>673900-2200</f>
        <v>671700</v>
      </c>
      <c r="M31" s="83"/>
    </row>
    <row r="32" spans="2:14" ht="15.75" thickBot="1">
      <c r="J32" s="95" t="s">
        <v>101</v>
      </c>
      <c r="K32" s="96"/>
      <c r="L32" s="97">
        <f>+L30-L31</f>
        <v>-450</v>
      </c>
      <c r="M32" s="97">
        <f>+M30-M31</f>
        <v>0</v>
      </c>
      <c r="N32" t="s">
        <v>130</v>
      </c>
    </row>
    <row r="33" ht="15.75" thickTop="1"/>
  </sheetData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3"/>
  <sheetViews>
    <sheetView topLeftCell="A15" workbookViewId="0">
      <selection activeCell="L31" sqref="L31"/>
    </sheetView>
  </sheetViews>
  <sheetFormatPr defaultRowHeight="15"/>
  <cols>
    <col min="1" max="1" width="2.85546875" customWidth="1"/>
    <col min="2" max="3" width="10.5703125" style="105" bestFit="1" customWidth="1"/>
    <col min="4" max="4" width="10.42578125" style="105" customWidth="1"/>
    <col min="5" max="5" width="2.28515625" style="105" customWidth="1"/>
    <col min="6" max="7" width="9.28515625" style="105" bestFit="1" customWidth="1"/>
    <col min="8" max="8" width="12.5703125" style="105" customWidth="1"/>
    <col min="9" max="9" width="10.28515625" customWidth="1"/>
    <col min="10" max="10" width="13.42578125" customWidth="1"/>
    <col min="11" max="11" width="9" customWidth="1"/>
    <col min="12" max="12" width="11.5703125" style="105" bestFit="1" customWidth="1"/>
  </cols>
  <sheetData>
    <row r="1" spans="2:12">
      <c r="B1" s="105" t="s">
        <v>1</v>
      </c>
      <c r="F1" s="105" t="s">
        <v>51</v>
      </c>
    </row>
    <row r="3" spans="2:12">
      <c r="B3" s="58"/>
      <c r="C3" s="58"/>
      <c r="D3" s="58"/>
      <c r="E3" s="32"/>
      <c r="F3" s="58"/>
      <c r="G3" s="58"/>
      <c r="H3" s="58"/>
    </row>
    <row r="4" spans="2:12">
      <c r="B4" s="58"/>
      <c r="C4" s="58"/>
      <c r="D4" s="58"/>
      <c r="E4" s="32"/>
      <c r="F4" s="58"/>
      <c r="G4" s="58"/>
      <c r="H4" s="58"/>
    </row>
    <row r="5" spans="2:12">
      <c r="B5" s="58"/>
      <c r="C5" s="58"/>
      <c r="D5" s="58"/>
      <c r="E5" s="32"/>
      <c r="F5" s="58"/>
      <c r="G5" s="58"/>
      <c r="H5" s="58"/>
      <c r="J5" t="s">
        <v>2</v>
      </c>
    </row>
    <row r="6" spans="2:12">
      <c r="B6" s="58"/>
      <c r="C6" s="58"/>
      <c r="D6" s="58"/>
      <c r="E6" s="32"/>
      <c r="F6" s="58"/>
      <c r="G6" s="58"/>
      <c r="H6" s="58"/>
      <c r="J6" s="58">
        <v>4100</v>
      </c>
      <c r="K6" t="s">
        <v>233</v>
      </c>
    </row>
    <row r="7" spans="2:12">
      <c r="B7" s="58"/>
      <c r="C7" s="58"/>
      <c r="D7" s="58"/>
      <c r="E7" s="32"/>
      <c r="F7" s="58"/>
      <c r="G7" s="58"/>
      <c r="H7" s="58"/>
      <c r="J7" s="58">
        <v>400</v>
      </c>
      <c r="K7" s="115" t="s">
        <v>234</v>
      </c>
    </row>
    <row r="8" spans="2:12">
      <c r="B8" s="58"/>
      <c r="C8" s="58"/>
      <c r="D8" s="58"/>
      <c r="E8" s="32"/>
      <c r="F8" s="58"/>
      <c r="G8" s="58"/>
      <c r="H8" s="58"/>
      <c r="J8" s="58">
        <v>5500</v>
      </c>
      <c r="K8" s="115" t="s">
        <v>235</v>
      </c>
    </row>
    <row r="9" spans="2:12">
      <c r="B9" s="58"/>
      <c r="C9" s="58"/>
      <c r="D9" s="58"/>
      <c r="E9" s="32"/>
      <c r="F9" s="58"/>
      <c r="G9" s="58"/>
      <c r="H9" s="58"/>
      <c r="J9" s="117">
        <v>3000</v>
      </c>
      <c r="K9" s="115" t="s">
        <v>236</v>
      </c>
    </row>
    <row r="10" spans="2:12">
      <c r="B10" s="58"/>
      <c r="C10" s="58"/>
      <c r="D10" s="58"/>
      <c r="E10" s="32"/>
      <c r="F10" s="58"/>
      <c r="G10" s="58"/>
      <c r="H10" s="58"/>
      <c r="J10" s="58">
        <v>1000</v>
      </c>
      <c r="K10" s="115" t="s">
        <v>83</v>
      </c>
    </row>
    <row r="11" spans="2:12">
      <c r="B11" s="58"/>
      <c r="C11" s="58"/>
      <c r="D11" s="58"/>
      <c r="E11" s="32"/>
      <c r="F11" s="58"/>
      <c r="G11" s="58"/>
      <c r="H11" s="58"/>
      <c r="J11" s="58">
        <v>2400</v>
      </c>
      <c r="K11" s="115" t="s">
        <v>260</v>
      </c>
    </row>
    <row r="12" spans="2:12">
      <c r="B12" s="58"/>
      <c r="C12" s="58"/>
      <c r="D12" s="58"/>
      <c r="E12" s="32"/>
      <c r="F12" s="58"/>
      <c r="G12" s="58"/>
      <c r="H12" s="58"/>
      <c r="J12" s="58"/>
      <c r="K12" s="115"/>
      <c r="L12" s="116"/>
    </row>
    <row r="13" spans="2:12">
      <c r="B13" s="58"/>
      <c r="C13" s="58"/>
      <c r="D13" s="58"/>
      <c r="E13" s="32"/>
      <c r="F13" s="58"/>
      <c r="G13" s="58"/>
      <c r="H13" s="58"/>
      <c r="J13" s="58"/>
      <c r="K13" s="108"/>
    </row>
    <row r="14" spans="2:12">
      <c r="B14" s="58"/>
      <c r="C14" s="58"/>
      <c r="D14" s="58"/>
      <c r="E14" s="32"/>
      <c r="F14" s="58"/>
      <c r="G14" s="58"/>
      <c r="H14" s="58"/>
      <c r="J14" s="58"/>
      <c r="K14" s="108"/>
    </row>
    <row r="15" spans="2:12">
      <c r="B15" s="58"/>
      <c r="C15" s="58"/>
      <c r="D15" s="58"/>
      <c r="E15" s="32"/>
      <c r="F15" s="58"/>
      <c r="G15" s="58"/>
      <c r="H15" s="58"/>
      <c r="J15" s="58"/>
      <c r="K15" s="108"/>
    </row>
    <row r="16" spans="2:12">
      <c r="B16" s="58"/>
      <c r="C16" s="58"/>
      <c r="D16" s="58"/>
      <c r="E16" s="32"/>
      <c r="F16" s="58"/>
      <c r="G16" s="58"/>
      <c r="H16" s="58"/>
      <c r="J16" s="58"/>
      <c r="K16" s="108"/>
    </row>
    <row r="17" spans="2:14">
      <c r="B17" s="58"/>
      <c r="C17" s="58"/>
      <c r="D17" s="58"/>
      <c r="E17" s="32"/>
      <c r="F17" s="58"/>
      <c r="G17" s="58"/>
      <c r="H17" s="58"/>
      <c r="J17" s="58"/>
      <c r="K17" s="108"/>
    </row>
    <row r="18" spans="2:14">
      <c r="B18" s="58"/>
      <c r="C18" s="58"/>
      <c r="D18" s="58"/>
      <c r="E18" s="32"/>
      <c r="F18" s="58"/>
      <c r="G18" s="58"/>
      <c r="H18" s="58"/>
      <c r="J18" s="58"/>
      <c r="K18" s="108"/>
    </row>
    <row r="19" spans="2:14">
      <c r="B19" s="58"/>
      <c r="C19" s="58"/>
      <c r="D19" s="58"/>
      <c r="E19" s="32"/>
      <c r="F19" s="58"/>
      <c r="G19" s="58"/>
      <c r="H19" s="58"/>
      <c r="J19" s="58"/>
      <c r="K19" s="108"/>
    </row>
    <row r="20" spans="2:14">
      <c r="B20" s="58"/>
      <c r="C20" s="58"/>
      <c r="D20" s="58"/>
      <c r="E20" s="32"/>
      <c r="F20" s="58"/>
      <c r="G20" s="58"/>
      <c r="H20" s="58"/>
      <c r="J20" s="58"/>
      <c r="K20" s="108"/>
    </row>
    <row r="21" spans="2:14">
      <c r="B21" s="58"/>
      <c r="C21" s="58"/>
      <c r="D21" s="58"/>
      <c r="E21" s="32"/>
      <c r="F21" s="58"/>
      <c r="G21" s="58"/>
      <c r="H21" s="58"/>
      <c r="J21" s="58"/>
      <c r="K21" s="108"/>
    </row>
    <row r="22" spans="2:14" ht="15.75" thickBot="1">
      <c r="B22" s="58"/>
      <c r="C22" s="58"/>
      <c r="D22" s="58"/>
      <c r="E22" s="32"/>
      <c r="F22" s="58"/>
      <c r="G22" s="58"/>
      <c r="H22" s="58"/>
      <c r="J22" s="76">
        <f>SUM(J6:J21)</f>
        <v>16400</v>
      </c>
      <c r="K22" s="108"/>
    </row>
    <row r="23" spans="2:14" ht="15.75" thickTop="1">
      <c r="B23" s="58"/>
      <c r="C23" s="58"/>
      <c r="D23" s="58"/>
      <c r="E23" s="32"/>
      <c r="F23" s="58"/>
      <c r="G23" s="58"/>
      <c r="H23" s="58"/>
    </row>
    <row r="24" spans="2:14">
      <c r="B24" s="58"/>
      <c r="C24" s="58"/>
      <c r="D24" s="58"/>
      <c r="E24" s="32"/>
      <c r="F24" s="58"/>
      <c r="G24" s="58"/>
      <c r="H24" s="58"/>
      <c r="J24" s="25"/>
      <c r="K24" s="33"/>
      <c r="M24" s="49"/>
    </row>
    <row r="25" spans="2:14" s="105" customFormat="1" ht="15.75" thickBot="1">
      <c r="B25" s="72">
        <f>SUM(B3:B24)</f>
        <v>0</v>
      </c>
      <c r="C25" s="72">
        <f>SUM(C3:C24)</f>
        <v>0</v>
      </c>
      <c r="D25" s="72">
        <f>SUM(D3:D24)</f>
        <v>0</v>
      </c>
      <c r="E25" s="72"/>
      <c r="F25" s="72">
        <f>SUM(F3:F24)</f>
        <v>0</v>
      </c>
      <c r="G25" s="72">
        <f>SUM(G3:G24)</f>
        <v>0</v>
      </c>
      <c r="H25" s="72">
        <f>SUM(H3:H24)</f>
        <v>0</v>
      </c>
      <c r="I25" s="70">
        <f>+D26+H26</f>
        <v>0</v>
      </c>
      <c r="K25" s="4"/>
      <c r="L25" s="98" t="s">
        <v>18</v>
      </c>
      <c r="M25" s="98" t="s">
        <v>129</v>
      </c>
    </row>
    <row r="26" spans="2:14" ht="15.75" thickTop="1">
      <c r="C26" s="74" t="s">
        <v>1</v>
      </c>
      <c r="D26" s="75">
        <f>SUM(B25:D25)</f>
        <v>0</v>
      </c>
      <c r="E26" s="28"/>
      <c r="F26" s="28"/>
      <c r="G26" s="74" t="s">
        <v>17</v>
      </c>
      <c r="H26" s="75">
        <f>SUM(F25:H25)</f>
        <v>0</v>
      </c>
      <c r="J26" s="79" t="s">
        <v>97</v>
      </c>
      <c r="K26" s="79"/>
      <c r="L26" s="32">
        <f>+D27+H27</f>
        <v>664550</v>
      </c>
      <c r="M26" s="32">
        <f>+I25</f>
        <v>0</v>
      </c>
    </row>
    <row r="27" spans="2:14">
      <c r="C27" s="105" t="s">
        <v>18</v>
      </c>
      <c r="D27" s="28">
        <v>310100</v>
      </c>
      <c r="G27" s="105" t="s">
        <v>18</v>
      </c>
      <c r="H27" s="105">
        <v>354450</v>
      </c>
      <c r="J27" s="80" t="s">
        <v>128</v>
      </c>
      <c r="K27" s="80"/>
      <c r="L27" s="58"/>
      <c r="M27" s="58"/>
    </row>
    <row r="28" spans="2:14">
      <c r="C28" s="73" t="s">
        <v>5</v>
      </c>
      <c r="D28" s="73">
        <f>+D26-D27</f>
        <v>-310100</v>
      </c>
      <c r="E28" s="73"/>
      <c r="F28" s="73"/>
      <c r="G28" s="73" t="s">
        <v>5</v>
      </c>
      <c r="H28" s="73">
        <f>+H26-H27</f>
        <v>-354450</v>
      </c>
      <c r="J28" s="80" t="s">
        <v>100</v>
      </c>
      <c r="K28" s="80"/>
      <c r="L28" s="58">
        <v>34050</v>
      </c>
      <c r="M28" s="58"/>
    </row>
    <row r="29" spans="2:14">
      <c r="J29" s="80" t="s">
        <v>98</v>
      </c>
      <c r="K29" s="80"/>
      <c r="L29" s="58"/>
      <c r="M29" s="58"/>
    </row>
    <row r="30" spans="2:14" ht="15.75" thickBot="1">
      <c r="J30" s="93" t="s">
        <v>99</v>
      </c>
      <c r="K30" s="93"/>
      <c r="L30" s="94">
        <f>SUM(L26:L29)</f>
        <v>698600</v>
      </c>
      <c r="M30" s="94">
        <f>SUM(M26:M29)</f>
        <v>0</v>
      </c>
    </row>
    <row r="31" spans="2:14" ht="15.75" thickTop="1">
      <c r="I31" s="49"/>
      <c r="J31" s="82" t="s">
        <v>4</v>
      </c>
      <c r="K31" s="82"/>
      <c r="L31" s="83">
        <v>697300</v>
      </c>
      <c r="M31" s="83"/>
    </row>
    <row r="32" spans="2:14" ht="15.75" thickBot="1">
      <c r="J32" s="95" t="s">
        <v>101</v>
      </c>
      <c r="K32" s="96"/>
      <c r="L32" s="97">
        <f>+L30-L31</f>
        <v>1300</v>
      </c>
      <c r="M32" s="97">
        <f>+M30-M31</f>
        <v>0</v>
      </c>
      <c r="N32" t="s">
        <v>45</v>
      </c>
    </row>
    <row r="33" ht="15.75" thickTop="1"/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8"/>
  <sheetViews>
    <sheetView topLeftCell="A18" workbookViewId="0">
      <selection activeCell="C40" sqref="C40"/>
    </sheetView>
  </sheetViews>
  <sheetFormatPr defaultRowHeight="15"/>
  <cols>
    <col min="1" max="1" width="4.7109375" customWidth="1"/>
    <col min="2" max="2" width="6.28515625" style="120" customWidth="1"/>
    <col min="3" max="3" width="10.5703125" bestFit="1" customWidth="1"/>
    <col min="5" max="5" width="10.5703125" bestFit="1" customWidth="1"/>
  </cols>
  <sheetData>
    <row r="1" spans="2:5">
      <c r="C1" t="s">
        <v>232</v>
      </c>
    </row>
    <row r="2" spans="2:5">
      <c r="B2" s="119" t="s">
        <v>8</v>
      </c>
      <c r="C2" s="80" t="s">
        <v>39</v>
      </c>
      <c r="D2" s="80" t="s">
        <v>102</v>
      </c>
      <c r="E2" s="80" t="s">
        <v>222</v>
      </c>
    </row>
    <row r="3" spans="2:5">
      <c r="B3" s="119">
        <v>1</v>
      </c>
      <c r="C3" s="117"/>
      <c r="D3" s="117"/>
      <c r="E3" s="117">
        <v>250</v>
      </c>
    </row>
    <row r="4" spans="2:5">
      <c r="B4" s="119">
        <f>+B3+1</f>
        <v>2</v>
      </c>
      <c r="C4" s="117">
        <v>11950</v>
      </c>
      <c r="D4" s="117"/>
      <c r="E4" s="117"/>
    </row>
    <row r="5" spans="2:5">
      <c r="B5" s="119">
        <f t="shared" ref="B5:B33" si="0">+B4+1</f>
        <v>3</v>
      </c>
      <c r="C5" s="117"/>
      <c r="D5" s="117"/>
      <c r="E5" s="117">
        <v>2150</v>
      </c>
    </row>
    <row r="6" spans="2:5">
      <c r="B6" s="119">
        <f t="shared" si="0"/>
        <v>4</v>
      </c>
      <c r="C6" s="117">
        <v>2610</v>
      </c>
      <c r="D6" s="117"/>
      <c r="E6" s="117"/>
    </row>
    <row r="7" spans="2:5">
      <c r="B7" s="119">
        <f t="shared" si="0"/>
        <v>5</v>
      </c>
      <c r="C7" s="117"/>
      <c r="D7" s="117"/>
      <c r="E7" s="117">
        <v>-9150</v>
      </c>
    </row>
    <row r="8" spans="2:5">
      <c r="B8" s="119">
        <f t="shared" si="0"/>
        <v>6</v>
      </c>
      <c r="C8" s="117">
        <v>1500</v>
      </c>
      <c r="D8" s="117"/>
      <c r="E8" s="117"/>
    </row>
    <row r="9" spans="2:5">
      <c r="B9" s="119">
        <f t="shared" si="0"/>
        <v>7</v>
      </c>
      <c r="C9" s="117"/>
      <c r="D9" s="117">
        <v>210</v>
      </c>
      <c r="E9" s="117"/>
    </row>
    <row r="10" spans="2:5">
      <c r="B10" s="119">
        <f t="shared" si="0"/>
        <v>8</v>
      </c>
      <c r="C10" s="117"/>
      <c r="D10" s="117"/>
      <c r="E10" s="117"/>
    </row>
    <row r="11" spans="2:5">
      <c r="B11" s="119">
        <f t="shared" si="0"/>
        <v>9</v>
      </c>
      <c r="C11" s="117"/>
      <c r="D11" s="117">
        <v>1100</v>
      </c>
      <c r="E11" s="117"/>
    </row>
    <row r="12" spans="2:5">
      <c r="B12" s="119">
        <f t="shared" si="0"/>
        <v>10</v>
      </c>
      <c r="C12" s="117">
        <v>3700</v>
      </c>
      <c r="D12" s="117"/>
      <c r="E12" s="117"/>
    </row>
    <row r="13" spans="2:5">
      <c r="B13" s="119">
        <f t="shared" si="0"/>
        <v>11</v>
      </c>
      <c r="C13" s="117"/>
      <c r="D13" s="117">
        <v>-15050</v>
      </c>
      <c r="E13" s="117"/>
    </row>
    <row r="14" spans="2:5">
      <c r="B14" s="119">
        <f t="shared" si="0"/>
        <v>12</v>
      </c>
      <c r="C14" s="117">
        <v>-4950</v>
      </c>
      <c r="D14" s="117"/>
      <c r="E14" s="117"/>
    </row>
    <row r="15" spans="2:5">
      <c r="B15" s="119">
        <f t="shared" si="0"/>
        <v>13</v>
      </c>
      <c r="C15" s="117"/>
      <c r="D15" s="117">
        <v>13600</v>
      </c>
      <c r="E15" s="117"/>
    </row>
    <row r="16" spans="2:5">
      <c r="B16" s="119">
        <f t="shared" si="0"/>
        <v>14</v>
      </c>
      <c r="C16" s="117">
        <v>-600</v>
      </c>
      <c r="D16" s="117"/>
      <c r="E16" s="117"/>
    </row>
    <row r="17" spans="2:14">
      <c r="B17" s="119">
        <f t="shared" si="0"/>
        <v>15</v>
      </c>
      <c r="C17" s="117"/>
      <c r="D17" s="117">
        <v>850</v>
      </c>
      <c r="E17" s="117"/>
    </row>
    <row r="18" spans="2:14">
      <c r="B18" s="119">
        <f t="shared" si="0"/>
        <v>16</v>
      </c>
      <c r="C18" s="117">
        <v>-3250</v>
      </c>
      <c r="D18" s="117"/>
      <c r="E18" s="117"/>
    </row>
    <row r="19" spans="2:14">
      <c r="B19" s="119">
        <f t="shared" si="0"/>
        <v>17</v>
      </c>
      <c r="C19" s="117"/>
      <c r="D19" s="117">
        <v>1400</v>
      </c>
      <c r="E19" s="117"/>
      <c r="G19" t="s">
        <v>230</v>
      </c>
    </row>
    <row r="20" spans="2:14" ht="15.75" thickBot="1">
      <c r="B20" s="119">
        <f t="shared" si="0"/>
        <v>18</v>
      </c>
      <c r="C20" s="117">
        <v>3650</v>
      </c>
      <c r="D20" s="117"/>
      <c r="E20" s="117"/>
      <c r="G20" s="123" t="s">
        <v>130</v>
      </c>
      <c r="H20" s="123" t="s">
        <v>122</v>
      </c>
      <c r="I20" s="123" t="s">
        <v>225</v>
      </c>
      <c r="J20" s="123" t="s">
        <v>226</v>
      </c>
      <c r="K20" s="123" t="s">
        <v>227</v>
      </c>
      <c r="L20" s="123" t="s">
        <v>228</v>
      </c>
      <c r="M20" s="123" t="s">
        <v>229</v>
      </c>
      <c r="N20" s="123" t="s">
        <v>231</v>
      </c>
    </row>
    <row r="21" spans="2:14" ht="15.75" thickTop="1">
      <c r="B21" s="119">
        <f t="shared" si="0"/>
        <v>19</v>
      </c>
      <c r="C21" s="117"/>
      <c r="D21" s="117">
        <v>4350</v>
      </c>
      <c r="E21" s="117"/>
      <c r="G21" s="82">
        <v>300</v>
      </c>
      <c r="H21" s="82">
        <v>300</v>
      </c>
      <c r="I21" s="82">
        <v>300</v>
      </c>
      <c r="J21" s="82"/>
      <c r="K21" s="82">
        <v>300</v>
      </c>
      <c r="L21" s="82"/>
      <c r="M21" s="82"/>
      <c r="N21" s="82">
        <v>300</v>
      </c>
    </row>
    <row r="22" spans="2:14">
      <c r="B22" s="119">
        <f t="shared" si="0"/>
        <v>20</v>
      </c>
      <c r="C22" s="117">
        <v>-15250</v>
      </c>
      <c r="D22" s="117"/>
      <c r="E22" s="117"/>
      <c r="G22" s="80"/>
      <c r="H22" s="80"/>
      <c r="I22" s="80"/>
      <c r="J22" s="80">
        <v>300</v>
      </c>
      <c r="K22" s="80"/>
      <c r="L22" s="80"/>
      <c r="M22" s="80"/>
      <c r="N22" s="80">
        <v>300</v>
      </c>
    </row>
    <row r="23" spans="2:14">
      <c r="B23" s="119">
        <f t="shared" si="0"/>
        <v>21</v>
      </c>
      <c r="C23" s="117"/>
      <c r="D23" s="117">
        <v>100</v>
      </c>
      <c r="E23" s="117"/>
      <c r="G23" s="80"/>
      <c r="H23" s="80"/>
      <c r="I23" s="80"/>
      <c r="J23" s="80">
        <v>300</v>
      </c>
      <c r="K23" s="80"/>
      <c r="L23" s="80"/>
      <c r="M23" s="80"/>
      <c r="N23" s="80">
        <v>300</v>
      </c>
    </row>
    <row r="24" spans="2:14">
      <c r="B24" s="119">
        <f t="shared" si="0"/>
        <v>22</v>
      </c>
      <c r="C24" s="117">
        <v>2850</v>
      </c>
      <c r="D24" s="117"/>
      <c r="E24" s="117"/>
      <c r="G24" s="80"/>
      <c r="H24" s="80"/>
      <c r="I24" s="80"/>
      <c r="J24" s="80">
        <v>300</v>
      </c>
      <c r="K24" s="80"/>
      <c r="L24" s="80"/>
      <c r="M24" s="80"/>
      <c r="N24" s="80"/>
    </row>
    <row r="25" spans="2:14">
      <c r="B25" s="119">
        <f t="shared" si="0"/>
        <v>23</v>
      </c>
      <c r="C25" s="117"/>
      <c r="D25" s="117"/>
      <c r="E25" s="117"/>
      <c r="G25" s="80"/>
      <c r="H25" s="80"/>
      <c r="I25" s="80"/>
      <c r="J25" s="80"/>
      <c r="K25" s="80"/>
      <c r="L25" s="80"/>
      <c r="M25" s="80"/>
      <c r="N25" s="80"/>
    </row>
    <row r="26" spans="2:14">
      <c r="B26" s="119">
        <f t="shared" si="0"/>
        <v>24</v>
      </c>
      <c r="C26" s="117">
        <v>-600</v>
      </c>
      <c r="D26" s="117"/>
      <c r="E26" s="117"/>
      <c r="G26" s="80"/>
      <c r="H26" s="80"/>
      <c r="I26" s="80"/>
      <c r="J26" s="80"/>
      <c r="K26" s="80"/>
      <c r="L26" s="80"/>
      <c r="M26" s="80">
        <v>300</v>
      </c>
      <c r="N26" s="80"/>
    </row>
    <row r="27" spans="2:14">
      <c r="B27" s="119">
        <f t="shared" si="0"/>
        <v>25</v>
      </c>
      <c r="C27" s="117"/>
      <c r="D27" s="117">
        <v>500</v>
      </c>
      <c r="E27" s="117"/>
      <c r="G27" s="80"/>
      <c r="H27" s="80"/>
      <c r="I27" s="80"/>
      <c r="J27" s="80"/>
      <c r="K27" s="80"/>
      <c r="L27" s="80"/>
      <c r="M27" s="80">
        <v>300</v>
      </c>
      <c r="N27" s="80"/>
    </row>
    <row r="28" spans="2:14">
      <c r="B28" s="119">
        <f t="shared" si="0"/>
        <v>26</v>
      </c>
      <c r="C28" s="117">
        <v>2850</v>
      </c>
      <c r="D28" s="117"/>
      <c r="E28" s="117"/>
      <c r="G28" s="80"/>
      <c r="H28" s="80"/>
      <c r="I28" s="80"/>
      <c r="J28" s="80"/>
      <c r="K28" s="80"/>
      <c r="L28" s="80"/>
      <c r="M28" s="80">
        <v>300</v>
      </c>
      <c r="N28" s="80"/>
    </row>
    <row r="29" spans="2:14">
      <c r="B29" s="119">
        <f t="shared" si="0"/>
        <v>27</v>
      </c>
      <c r="C29" s="117"/>
      <c r="D29" s="117">
        <v>-450</v>
      </c>
      <c r="E29" s="117"/>
      <c r="G29" s="80"/>
      <c r="H29" s="80"/>
      <c r="I29" s="80"/>
      <c r="J29" s="80"/>
      <c r="K29" s="80"/>
      <c r="L29" s="80"/>
      <c r="M29" s="80"/>
      <c r="N29" s="80"/>
    </row>
    <row r="30" spans="2:14">
      <c r="B30" s="119">
        <f t="shared" si="0"/>
        <v>28</v>
      </c>
      <c r="C30" s="117">
        <v>-1000</v>
      </c>
      <c r="D30" s="117"/>
      <c r="E30" s="117"/>
      <c r="G30" s="80"/>
      <c r="H30" s="80"/>
      <c r="I30" s="80"/>
      <c r="J30" s="80"/>
      <c r="K30" s="80"/>
      <c r="L30" s="80"/>
      <c r="M30" s="80"/>
      <c r="N30" s="80"/>
    </row>
    <row r="31" spans="2:14">
      <c r="B31" s="119">
        <f t="shared" si="0"/>
        <v>29</v>
      </c>
      <c r="C31" s="117"/>
      <c r="D31" s="117"/>
      <c r="E31" s="117"/>
      <c r="G31" s="80"/>
      <c r="H31" s="80"/>
      <c r="I31" s="80"/>
      <c r="J31" s="80"/>
      <c r="K31" s="80"/>
      <c r="L31" s="80"/>
      <c r="M31" s="80"/>
      <c r="N31" s="80"/>
    </row>
    <row r="32" spans="2:14">
      <c r="B32" s="119">
        <f t="shared" si="0"/>
        <v>30</v>
      </c>
      <c r="C32" s="117"/>
      <c r="D32" s="117"/>
      <c r="E32" s="117"/>
      <c r="G32" s="80"/>
      <c r="H32" s="80"/>
      <c r="I32" s="80"/>
      <c r="J32" s="80"/>
      <c r="K32" s="80"/>
      <c r="L32" s="80"/>
      <c r="M32" s="80"/>
      <c r="N32" s="80"/>
    </row>
    <row r="33" spans="2:14">
      <c r="B33" s="119">
        <f t="shared" si="0"/>
        <v>31</v>
      </c>
      <c r="C33" s="117"/>
      <c r="D33" s="117"/>
      <c r="E33" s="117"/>
      <c r="G33" s="80"/>
      <c r="H33" s="80"/>
      <c r="I33" s="80"/>
      <c r="J33" s="80"/>
      <c r="K33" s="80"/>
      <c r="L33" s="80"/>
      <c r="M33" s="80"/>
      <c r="N33" s="80"/>
    </row>
    <row r="34" spans="2:14">
      <c r="B34" s="119" t="s">
        <v>223</v>
      </c>
      <c r="C34" s="117"/>
      <c r="D34" s="117"/>
      <c r="E34" s="117"/>
      <c r="G34" s="80"/>
      <c r="H34" s="80"/>
      <c r="I34" s="80"/>
      <c r="J34" s="80"/>
      <c r="K34" s="80"/>
      <c r="L34" s="80"/>
      <c r="M34" s="80"/>
      <c r="N34" s="80"/>
    </row>
    <row r="35" spans="2:14">
      <c r="B35" s="119" t="s">
        <v>224</v>
      </c>
      <c r="C35" s="117">
        <v>-2100</v>
      </c>
      <c r="D35" s="117">
        <v>-11400</v>
      </c>
      <c r="E35" s="117"/>
      <c r="G35" s="80"/>
      <c r="H35" s="80"/>
      <c r="I35" s="80"/>
      <c r="J35" s="80"/>
      <c r="K35" s="80"/>
      <c r="L35" s="80"/>
      <c r="M35" s="80"/>
      <c r="N35" s="80"/>
    </row>
    <row r="36" spans="2:14" ht="15.75" thickBot="1">
      <c r="B36" s="121"/>
      <c r="C36" s="122">
        <f>SUM(C3:C35)</f>
        <v>1360</v>
      </c>
      <c r="D36" s="122">
        <f>SUM(D3:D35)</f>
        <v>-4790</v>
      </c>
      <c r="E36" s="122">
        <f>SUM(E3:E35)</f>
        <v>-6750</v>
      </c>
      <c r="G36" s="124">
        <f t="shared" ref="G36:N36" si="1">SUM(G3:G35)</f>
        <v>300</v>
      </c>
      <c r="H36" s="122">
        <f t="shared" si="1"/>
        <v>300</v>
      </c>
      <c r="I36" s="124">
        <f t="shared" si="1"/>
        <v>300</v>
      </c>
      <c r="J36" s="124">
        <f t="shared" si="1"/>
        <v>900</v>
      </c>
      <c r="K36" s="124">
        <f t="shared" si="1"/>
        <v>300</v>
      </c>
      <c r="L36" s="122">
        <f t="shared" si="1"/>
        <v>0</v>
      </c>
      <c r="M36" s="122">
        <f t="shared" si="1"/>
        <v>900</v>
      </c>
      <c r="N36" s="122">
        <f t="shared" si="1"/>
        <v>900</v>
      </c>
    </row>
    <row r="37" spans="2:14" ht="15.75" thickTop="1">
      <c r="D37">
        <f>+D36/4</f>
        <v>-1197.5</v>
      </c>
      <c r="E37">
        <f>+E36/2</f>
        <v>-3375</v>
      </c>
      <c r="G37">
        <v>1200</v>
      </c>
      <c r="I37">
        <v>1200</v>
      </c>
      <c r="J37">
        <v>1200</v>
      </c>
      <c r="K37">
        <v>1200</v>
      </c>
    </row>
    <row r="38" spans="2:14">
      <c r="E38">
        <f>+E36/4</f>
        <v>-1687.5</v>
      </c>
      <c r="G38" s="49">
        <f>SUM(G36:G37)</f>
        <v>1500</v>
      </c>
      <c r="H38" s="49">
        <f t="shared" ref="H38:K38" si="2">SUM(H36:H37)</f>
        <v>300</v>
      </c>
      <c r="I38" s="49">
        <f t="shared" si="2"/>
        <v>1500</v>
      </c>
      <c r="J38" s="49">
        <f t="shared" si="2"/>
        <v>2100</v>
      </c>
      <c r="K38" s="49">
        <f t="shared" si="2"/>
        <v>1500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3"/>
  <sheetViews>
    <sheetView topLeftCell="A11" workbookViewId="0">
      <selection activeCell="L20" sqref="L20"/>
    </sheetView>
  </sheetViews>
  <sheetFormatPr defaultRowHeight="15"/>
  <cols>
    <col min="1" max="1" width="2.85546875" customWidth="1"/>
    <col min="2" max="3" width="10.5703125" style="105" bestFit="1" customWidth="1"/>
    <col min="4" max="4" width="10.42578125" style="105" customWidth="1"/>
    <col min="5" max="5" width="2.28515625" style="105" customWidth="1"/>
    <col min="6" max="7" width="9.28515625" style="105" bestFit="1" customWidth="1"/>
    <col min="8" max="8" width="12.5703125" style="105" customWidth="1"/>
    <col min="9" max="9" width="10.28515625" customWidth="1"/>
    <col min="10" max="10" width="13.42578125" customWidth="1"/>
    <col min="11" max="11" width="9" customWidth="1"/>
    <col min="12" max="12" width="11.5703125" style="105" bestFit="1" customWidth="1"/>
  </cols>
  <sheetData>
    <row r="1" spans="2:12">
      <c r="B1" s="105" t="s">
        <v>1</v>
      </c>
      <c r="F1" s="105" t="s">
        <v>51</v>
      </c>
    </row>
    <row r="3" spans="2:12">
      <c r="B3" s="58"/>
      <c r="C3" s="58"/>
      <c r="D3" s="58"/>
      <c r="E3" s="32"/>
      <c r="F3" s="58"/>
      <c r="G3" s="58"/>
      <c r="H3" s="58"/>
    </row>
    <row r="4" spans="2:12">
      <c r="B4" s="58"/>
      <c r="C4" s="58"/>
      <c r="D4" s="58"/>
      <c r="E4" s="32"/>
      <c r="F4" s="58"/>
      <c r="G4" s="58"/>
      <c r="H4" s="58"/>
    </row>
    <row r="5" spans="2:12">
      <c r="B5" s="58"/>
      <c r="C5" s="58"/>
      <c r="D5" s="58"/>
      <c r="E5" s="32"/>
      <c r="F5" s="58"/>
      <c r="G5" s="58"/>
      <c r="H5" s="58"/>
      <c r="J5" t="s">
        <v>2</v>
      </c>
    </row>
    <row r="6" spans="2:12">
      <c r="B6" s="58"/>
      <c r="C6" s="58"/>
      <c r="D6" s="58"/>
      <c r="E6" s="32"/>
      <c r="F6" s="58"/>
      <c r="G6" s="58"/>
      <c r="H6" s="58"/>
      <c r="J6" s="58">
        <v>400</v>
      </c>
      <c r="K6" t="s">
        <v>234</v>
      </c>
    </row>
    <row r="7" spans="2:12">
      <c r="B7" s="58"/>
      <c r="C7" s="58"/>
      <c r="D7" s="58"/>
      <c r="E7" s="32"/>
      <c r="F7" s="58"/>
      <c r="G7" s="58"/>
      <c r="H7" s="58"/>
      <c r="J7" s="58">
        <v>1000</v>
      </c>
      <c r="K7" s="115" t="s">
        <v>254</v>
      </c>
    </row>
    <row r="8" spans="2:12">
      <c r="B8" s="58"/>
      <c r="C8" s="58"/>
      <c r="D8" s="58"/>
      <c r="E8" s="32"/>
      <c r="F8" s="58"/>
      <c r="G8" s="58"/>
      <c r="H8" s="58"/>
      <c r="J8" s="58">
        <v>6800</v>
      </c>
      <c r="K8" s="115" t="s">
        <v>255</v>
      </c>
    </row>
    <row r="9" spans="2:12">
      <c r="B9" s="58"/>
      <c r="C9" s="58"/>
      <c r="D9" s="58"/>
      <c r="E9" s="32"/>
      <c r="F9" s="58"/>
      <c r="G9" s="58"/>
      <c r="H9" s="58"/>
      <c r="J9" s="117">
        <v>1000</v>
      </c>
      <c r="K9" s="115" t="s">
        <v>256</v>
      </c>
    </row>
    <row r="10" spans="2:12">
      <c r="B10" s="58"/>
      <c r="C10" s="58"/>
      <c r="D10" s="58"/>
      <c r="E10" s="32"/>
      <c r="F10" s="58"/>
      <c r="G10" s="58"/>
      <c r="H10" s="58"/>
      <c r="J10" s="58">
        <v>500</v>
      </c>
      <c r="K10" s="115" t="s">
        <v>257</v>
      </c>
      <c r="L10" s="116" t="s">
        <v>258</v>
      </c>
    </row>
    <row r="11" spans="2:12">
      <c r="B11" s="58"/>
      <c r="C11" s="58"/>
      <c r="D11" s="58"/>
      <c r="E11" s="32"/>
      <c r="F11" s="58"/>
      <c r="G11" s="58"/>
      <c r="H11" s="58"/>
      <c r="J11" s="58">
        <v>1000</v>
      </c>
      <c r="K11" s="115" t="s">
        <v>259</v>
      </c>
    </row>
    <row r="12" spans="2:12">
      <c r="B12" s="58"/>
      <c r="C12" s="58"/>
      <c r="D12" s="58"/>
      <c r="E12" s="32"/>
      <c r="F12" s="58"/>
      <c r="G12" s="58"/>
      <c r="H12" s="58"/>
      <c r="J12" s="58">
        <v>2400</v>
      </c>
      <c r="K12" s="115" t="s">
        <v>260</v>
      </c>
      <c r="L12" s="116"/>
    </row>
    <row r="13" spans="2:12">
      <c r="B13" s="58"/>
      <c r="C13" s="58"/>
      <c r="D13" s="58"/>
      <c r="E13" s="32"/>
      <c r="F13" s="58"/>
      <c r="G13" s="58"/>
      <c r="H13" s="58"/>
      <c r="J13" s="58"/>
      <c r="K13" s="108"/>
    </row>
    <row r="14" spans="2:12">
      <c r="B14" s="58"/>
      <c r="C14" s="58"/>
      <c r="D14" s="58"/>
      <c r="E14" s="32"/>
      <c r="F14" s="58"/>
      <c r="G14" s="58"/>
      <c r="H14" s="58"/>
      <c r="J14" s="58"/>
      <c r="K14" s="108"/>
    </row>
    <row r="15" spans="2:12">
      <c r="B15" s="58"/>
      <c r="C15" s="58"/>
      <c r="D15" s="58"/>
      <c r="E15" s="32"/>
      <c r="F15" s="58"/>
      <c r="G15" s="58"/>
      <c r="H15" s="58"/>
      <c r="J15" s="58"/>
      <c r="K15" s="108"/>
    </row>
    <row r="16" spans="2:12">
      <c r="B16" s="58"/>
      <c r="C16" s="58"/>
      <c r="D16" s="58"/>
      <c r="E16" s="32"/>
      <c r="F16" s="58"/>
      <c r="G16" s="58"/>
      <c r="H16" s="58"/>
      <c r="J16" s="58"/>
      <c r="K16" s="108"/>
    </row>
    <row r="17" spans="2:14">
      <c r="B17" s="58"/>
      <c r="C17" s="58"/>
      <c r="D17" s="58"/>
      <c r="E17" s="32"/>
      <c r="F17" s="58"/>
      <c r="G17" s="58"/>
      <c r="H17" s="58"/>
      <c r="J17" s="58"/>
      <c r="K17" s="108"/>
    </row>
    <row r="18" spans="2:14">
      <c r="B18" s="58"/>
      <c r="C18" s="58"/>
      <c r="D18" s="58"/>
      <c r="E18" s="32"/>
      <c r="F18" s="58"/>
      <c r="G18" s="58"/>
      <c r="H18" s="58"/>
      <c r="J18" s="58"/>
      <c r="K18" s="108"/>
    </row>
    <row r="19" spans="2:14">
      <c r="B19" s="58"/>
      <c r="C19" s="58"/>
      <c r="D19" s="58"/>
      <c r="E19" s="32"/>
      <c r="F19" s="58"/>
      <c r="G19" s="58"/>
      <c r="H19" s="58"/>
      <c r="J19" s="58"/>
      <c r="K19" s="108"/>
    </row>
    <row r="20" spans="2:14">
      <c r="B20" s="58"/>
      <c r="C20" s="58"/>
      <c r="D20" s="58"/>
      <c r="E20" s="32"/>
      <c r="F20" s="58"/>
      <c r="G20" s="58"/>
      <c r="H20" s="58"/>
      <c r="J20" s="58"/>
      <c r="K20" s="108"/>
    </row>
    <row r="21" spans="2:14">
      <c r="B21" s="58"/>
      <c r="C21" s="58"/>
      <c r="D21" s="58"/>
      <c r="E21" s="32"/>
      <c r="F21" s="58"/>
      <c r="G21" s="58"/>
      <c r="H21" s="58"/>
      <c r="J21" s="58"/>
      <c r="K21" s="108"/>
    </row>
    <row r="22" spans="2:14" ht="15.75" thickBot="1">
      <c r="B22" s="58"/>
      <c r="C22" s="58"/>
      <c r="D22" s="58"/>
      <c r="E22" s="32"/>
      <c r="F22" s="58"/>
      <c r="G22" s="58"/>
      <c r="H22" s="58"/>
      <c r="J22" s="76">
        <f>SUM(J6:J21)</f>
        <v>13100</v>
      </c>
      <c r="K22" s="108"/>
    </row>
    <row r="23" spans="2:14" ht="15.75" thickTop="1">
      <c r="B23" s="58"/>
      <c r="C23" s="58"/>
      <c r="D23" s="58"/>
      <c r="E23" s="32"/>
      <c r="F23" s="58"/>
      <c r="G23" s="58"/>
      <c r="H23" s="58"/>
    </row>
    <row r="24" spans="2:14">
      <c r="B24" s="58"/>
      <c r="C24" s="58"/>
      <c r="D24" s="58"/>
      <c r="E24" s="32"/>
      <c r="F24" s="58"/>
      <c r="G24" s="58"/>
      <c r="H24" s="58"/>
      <c r="J24" s="25"/>
      <c r="K24" s="33"/>
      <c r="M24" s="49"/>
    </row>
    <row r="25" spans="2:14" s="105" customFormat="1" ht="15.75" thickBot="1">
      <c r="B25" s="72">
        <f>SUM(B3:B24)</f>
        <v>0</v>
      </c>
      <c r="C25" s="72">
        <f>SUM(C3:C24)</f>
        <v>0</v>
      </c>
      <c r="D25" s="72">
        <f>SUM(D3:D24)</f>
        <v>0</v>
      </c>
      <c r="E25" s="72"/>
      <c r="F25" s="72">
        <f>SUM(F3:F24)</f>
        <v>0</v>
      </c>
      <c r="G25" s="72">
        <f>SUM(G3:G24)</f>
        <v>0</v>
      </c>
      <c r="H25" s="72">
        <f>SUM(H3:H24)</f>
        <v>0</v>
      </c>
      <c r="I25" s="70">
        <f>+D26+H26</f>
        <v>0</v>
      </c>
      <c r="K25" s="4"/>
      <c r="L25" s="98" t="s">
        <v>18</v>
      </c>
      <c r="M25" s="98" t="s">
        <v>129</v>
      </c>
    </row>
    <row r="26" spans="2:14" ht="15.75" thickTop="1">
      <c r="C26" s="74" t="s">
        <v>1</v>
      </c>
      <c r="D26" s="75">
        <f>SUM(B25:D25)</f>
        <v>0</v>
      </c>
      <c r="E26" s="28"/>
      <c r="F26" s="28"/>
      <c r="G26" s="74" t="s">
        <v>17</v>
      </c>
      <c r="H26" s="75">
        <f>SUM(F25:H25)</f>
        <v>0</v>
      </c>
      <c r="J26" s="79" t="s">
        <v>97</v>
      </c>
      <c r="K26" s="79"/>
      <c r="L26" s="32">
        <f>+D27+H27</f>
        <v>673700</v>
      </c>
      <c r="M26" s="32">
        <f>+I25</f>
        <v>0</v>
      </c>
    </row>
    <row r="27" spans="2:14">
      <c r="C27" s="105" t="s">
        <v>18</v>
      </c>
      <c r="D27" s="28">
        <v>290850</v>
      </c>
      <c r="G27" s="105" t="s">
        <v>18</v>
      </c>
      <c r="H27" s="105">
        <v>382850</v>
      </c>
      <c r="J27" s="80" t="s">
        <v>128</v>
      </c>
      <c r="K27" s="80"/>
      <c r="L27" s="58"/>
      <c r="M27" s="58"/>
    </row>
    <row r="28" spans="2:14">
      <c r="C28" s="73" t="s">
        <v>5</v>
      </c>
      <c r="D28" s="73">
        <f>+D26-D27</f>
        <v>-290850</v>
      </c>
      <c r="E28" s="73"/>
      <c r="F28" s="73"/>
      <c r="G28" s="73" t="s">
        <v>5</v>
      </c>
      <c r="H28" s="73">
        <f>+H26-H27</f>
        <v>-382850</v>
      </c>
      <c r="J28" s="80" t="s">
        <v>100</v>
      </c>
      <c r="K28" s="80"/>
      <c r="L28" s="58">
        <v>34750</v>
      </c>
      <c r="M28" s="58"/>
    </row>
    <row r="29" spans="2:14">
      <c r="J29" s="80" t="s">
        <v>98</v>
      </c>
      <c r="K29" s="80"/>
      <c r="L29" s="58"/>
      <c r="M29" s="58"/>
    </row>
    <row r="30" spans="2:14" ht="15.75" thickBot="1">
      <c r="J30" s="93" t="s">
        <v>99</v>
      </c>
      <c r="K30" s="93"/>
      <c r="L30" s="94">
        <f>SUM(L26:L29)</f>
        <v>708450</v>
      </c>
      <c r="M30" s="94">
        <f>SUM(M26:M29)</f>
        <v>0</v>
      </c>
    </row>
    <row r="31" spans="2:14" ht="15.75" thickTop="1">
      <c r="I31" s="49"/>
      <c r="J31" s="82" t="s">
        <v>4</v>
      </c>
      <c r="K31" s="82"/>
      <c r="L31" s="83">
        <v>713650</v>
      </c>
      <c r="M31" s="83"/>
    </row>
    <row r="32" spans="2:14" ht="15.75" thickBot="1">
      <c r="J32" s="95" t="s">
        <v>101</v>
      </c>
      <c r="K32" s="96"/>
      <c r="L32" s="97">
        <f>+L30-L31</f>
        <v>-5200</v>
      </c>
      <c r="M32" s="97">
        <f>+M30-M31</f>
        <v>0</v>
      </c>
      <c r="N32" t="s">
        <v>130</v>
      </c>
    </row>
    <row r="33" ht="15.75" thickTop="1"/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3"/>
  <sheetViews>
    <sheetView topLeftCell="A11" workbookViewId="0">
      <selection activeCell="H32" sqref="H32"/>
    </sheetView>
  </sheetViews>
  <sheetFormatPr defaultRowHeight="15"/>
  <cols>
    <col min="1" max="1" width="2.85546875" customWidth="1"/>
    <col min="2" max="3" width="10.5703125" style="105" bestFit="1" customWidth="1"/>
    <col min="4" max="4" width="10.42578125" style="105" customWidth="1"/>
    <col min="5" max="5" width="2.28515625" style="105" customWidth="1"/>
    <col min="6" max="7" width="9.28515625" style="105" bestFit="1" customWidth="1"/>
    <col min="8" max="8" width="12.5703125" style="105" customWidth="1"/>
    <col min="9" max="9" width="10.28515625" customWidth="1"/>
    <col min="10" max="10" width="13.42578125" customWidth="1"/>
    <col min="11" max="11" width="9" customWidth="1"/>
    <col min="12" max="12" width="11.5703125" style="105" bestFit="1" customWidth="1"/>
  </cols>
  <sheetData>
    <row r="1" spans="2:12">
      <c r="B1" s="105" t="s">
        <v>1</v>
      </c>
      <c r="F1" s="105" t="s">
        <v>51</v>
      </c>
    </row>
    <row r="3" spans="2:12">
      <c r="B3" s="58"/>
      <c r="C3" s="58"/>
      <c r="D3" s="58"/>
      <c r="E3" s="32"/>
      <c r="F3" s="58"/>
      <c r="G3" s="58"/>
      <c r="H3" s="58"/>
    </row>
    <row r="4" spans="2:12">
      <c r="B4" s="58"/>
      <c r="C4" s="58"/>
      <c r="D4" s="58"/>
      <c r="E4" s="32"/>
      <c r="F4" s="58"/>
      <c r="G4" s="58"/>
      <c r="H4" s="58"/>
    </row>
    <row r="5" spans="2:12">
      <c r="B5" s="58"/>
      <c r="C5" s="58"/>
      <c r="D5" s="58"/>
      <c r="E5" s="32"/>
      <c r="F5" s="58"/>
      <c r="G5" s="58"/>
      <c r="H5" s="58"/>
      <c r="J5" t="s">
        <v>2</v>
      </c>
    </row>
    <row r="6" spans="2:12">
      <c r="B6" s="58"/>
      <c r="C6" s="58"/>
      <c r="D6" s="58"/>
      <c r="E6" s="32"/>
      <c r="F6" s="58"/>
      <c r="G6" s="58"/>
      <c r="H6" s="58"/>
      <c r="J6" s="58">
        <v>2500</v>
      </c>
    </row>
    <row r="7" spans="2:12">
      <c r="B7" s="58"/>
      <c r="C7" s="58"/>
      <c r="D7" s="58"/>
      <c r="E7" s="32"/>
      <c r="F7" s="58"/>
      <c r="G7" s="58"/>
      <c r="H7" s="58"/>
      <c r="J7" s="58">
        <v>2000</v>
      </c>
      <c r="K7" s="115"/>
    </row>
    <row r="8" spans="2:12">
      <c r="B8" s="58"/>
      <c r="C8" s="58"/>
      <c r="D8" s="58"/>
      <c r="E8" s="32"/>
      <c r="F8" s="58"/>
      <c r="G8" s="58"/>
      <c r="H8" s="58"/>
      <c r="J8" s="58">
        <v>500</v>
      </c>
      <c r="K8" s="115"/>
    </row>
    <row r="9" spans="2:12">
      <c r="B9" s="58"/>
      <c r="C9" s="58"/>
      <c r="D9" s="58"/>
      <c r="E9" s="32"/>
      <c r="F9" s="58"/>
      <c r="G9" s="58"/>
      <c r="H9" s="58"/>
      <c r="J9" s="117">
        <v>2500</v>
      </c>
      <c r="K9" s="115"/>
    </row>
    <row r="10" spans="2:12">
      <c r="B10" s="58"/>
      <c r="C10" s="58"/>
      <c r="D10" s="58"/>
      <c r="E10" s="32"/>
      <c r="F10" s="58"/>
      <c r="G10" s="58"/>
      <c r="H10" s="58"/>
      <c r="J10" s="58">
        <v>700</v>
      </c>
      <c r="K10" s="115"/>
      <c r="L10" s="116"/>
    </row>
    <row r="11" spans="2:12">
      <c r="B11" s="58"/>
      <c r="C11" s="58"/>
      <c r="D11" s="58"/>
      <c r="E11" s="32"/>
      <c r="F11" s="58"/>
      <c r="G11" s="58"/>
      <c r="H11" s="58"/>
      <c r="J11" s="58">
        <v>1500</v>
      </c>
      <c r="K11" s="115"/>
    </row>
    <row r="12" spans="2:12">
      <c r="B12" s="58"/>
      <c r="C12" s="58"/>
      <c r="D12" s="58"/>
      <c r="E12" s="32"/>
      <c r="F12" s="58"/>
      <c r="G12" s="58"/>
      <c r="H12" s="58"/>
      <c r="J12" s="58">
        <v>2500</v>
      </c>
      <c r="K12" s="115"/>
      <c r="L12" s="116"/>
    </row>
    <row r="13" spans="2:12">
      <c r="B13" s="58"/>
      <c r="C13" s="58"/>
      <c r="D13" s="58"/>
      <c r="E13" s="32"/>
      <c r="F13" s="58"/>
      <c r="G13" s="58"/>
      <c r="H13" s="58"/>
      <c r="J13" s="58"/>
      <c r="K13" s="108"/>
    </row>
    <row r="14" spans="2:12">
      <c r="B14" s="58"/>
      <c r="C14" s="58"/>
      <c r="D14" s="58"/>
      <c r="E14" s="32"/>
      <c r="F14" s="58"/>
      <c r="G14" s="58"/>
      <c r="H14" s="58"/>
      <c r="J14" s="58"/>
      <c r="K14" s="108"/>
    </row>
    <row r="15" spans="2:12">
      <c r="B15" s="58"/>
      <c r="C15" s="58"/>
      <c r="D15" s="58"/>
      <c r="E15" s="32"/>
      <c r="F15" s="58"/>
      <c r="G15" s="58"/>
      <c r="H15" s="58"/>
      <c r="J15" s="58"/>
      <c r="K15" s="108"/>
    </row>
    <row r="16" spans="2:12">
      <c r="B16" s="58"/>
      <c r="C16" s="58"/>
      <c r="D16" s="58"/>
      <c r="E16" s="32"/>
      <c r="F16" s="58"/>
      <c r="G16" s="58"/>
      <c r="H16" s="58"/>
      <c r="J16" s="58"/>
      <c r="K16" s="108"/>
    </row>
    <row r="17" spans="2:14">
      <c r="B17" s="58"/>
      <c r="C17" s="58"/>
      <c r="D17" s="58"/>
      <c r="E17" s="32"/>
      <c r="F17" s="58"/>
      <c r="G17" s="58"/>
      <c r="H17" s="58"/>
      <c r="J17" s="58"/>
      <c r="K17" s="108"/>
    </row>
    <row r="18" spans="2:14">
      <c r="B18" s="58"/>
      <c r="C18" s="58"/>
      <c r="D18" s="58"/>
      <c r="E18" s="32"/>
      <c r="F18" s="58"/>
      <c r="G18" s="58"/>
      <c r="H18" s="58"/>
      <c r="J18" s="58"/>
      <c r="K18" s="108"/>
    </row>
    <row r="19" spans="2:14">
      <c r="B19" s="58"/>
      <c r="C19" s="58"/>
      <c r="D19" s="58"/>
      <c r="E19" s="32"/>
      <c r="F19" s="58"/>
      <c r="G19" s="58"/>
      <c r="H19" s="58"/>
      <c r="J19" s="58"/>
      <c r="K19" s="108"/>
    </row>
    <row r="20" spans="2:14">
      <c r="B20" s="58"/>
      <c r="C20" s="58"/>
      <c r="D20" s="58"/>
      <c r="E20" s="32"/>
      <c r="F20" s="58"/>
      <c r="G20" s="58"/>
      <c r="H20" s="58"/>
      <c r="J20" s="58"/>
      <c r="K20" s="108"/>
    </row>
    <row r="21" spans="2:14">
      <c r="B21" s="58"/>
      <c r="C21" s="58"/>
      <c r="D21" s="58"/>
      <c r="E21" s="32"/>
      <c r="F21" s="58"/>
      <c r="G21" s="58"/>
      <c r="H21" s="58"/>
      <c r="J21" s="58"/>
      <c r="K21" s="108"/>
    </row>
    <row r="22" spans="2:14" ht="15.75" thickBot="1">
      <c r="B22" s="58"/>
      <c r="C22" s="58"/>
      <c r="D22" s="58"/>
      <c r="E22" s="32"/>
      <c r="F22" s="58"/>
      <c r="G22" s="58"/>
      <c r="H22" s="58"/>
      <c r="J22" s="76">
        <f>SUM(J6:J21)</f>
        <v>12200</v>
      </c>
      <c r="K22" s="108"/>
    </row>
    <row r="23" spans="2:14" ht="15.75" thickTop="1">
      <c r="B23" s="58"/>
      <c r="C23" s="58"/>
      <c r="D23" s="58"/>
      <c r="E23" s="32"/>
      <c r="F23" s="58"/>
      <c r="G23" s="58"/>
      <c r="H23" s="58"/>
    </row>
    <row r="24" spans="2:14">
      <c r="B24" s="58"/>
      <c r="C24" s="58"/>
      <c r="D24" s="58"/>
      <c r="E24" s="32"/>
      <c r="F24" s="58"/>
      <c r="G24" s="58"/>
      <c r="H24" s="58"/>
      <c r="J24" s="25"/>
      <c r="K24" s="33"/>
      <c r="M24" s="49"/>
    </row>
    <row r="25" spans="2:14" s="105" customFormat="1" ht="15.75" thickBot="1">
      <c r="B25" s="72">
        <f>SUM(B3:B24)</f>
        <v>0</v>
      </c>
      <c r="C25" s="72">
        <f>SUM(C3:C24)</f>
        <v>0</v>
      </c>
      <c r="D25" s="72">
        <f>SUM(D3:D24)</f>
        <v>0</v>
      </c>
      <c r="E25" s="72"/>
      <c r="F25" s="72">
        <f>SUM(F3:F24)</f>
        <v>0</v>
      </c>
      <c r="G25" s="72">
        <f>SUM(G3:G24)</f>
        <v>0</v>
      </c>
      <c r="H25" s="72">
        <f>SUM(H3:H24)</f>
        <v>0</v>
      </c>
      <c r="I25" s="70">
        <f>+D26+H26</f>
        <v>0</v>
      </c>
      <c r="K25" s="4"/>
      <c r="L25" s="98" t="s">
        <v>18</v>
      </c>
      <c r="M25" s="98" t="s">
        <v>129</v>
      </c>
    </row>
    <row r="26" spans="2:14" ht="15.75" thickTop="1">
      <c r="C26" s="74" t="s">
        <v>1</v>
      </c>
      <c r="D26" s="75">
        <f>SUM(B25:D25)</f>
        <v>0</v>
      </c>
      <c r="E26" s="28"/>
      <c r="F26" s="28"/>
      <c r="G26" s="74" t="s">
        <v>17</v>
      </c>
      <c r="H26" s="75">
        <f>SUM(F25:H25)</f>
        <v>0</v>
      </c>
      <c r="J26" s="79" t="s">
        <v>97</v>
      </c>
      <c r="K26" s="79"/>
      <c r="L26" s="32">
        <f>+D27+H27</f>
        <v>812400</v>
      </c>
      <c r="M26" s="32">
        <f>+I25</f>
        <v>0</v>
      </c>
    </row>
    <row r="27" spans="2:14">
      <c r="C27" s="105" t="s">
        <v>18</v>
      </c>
      <c r="D27" s="28">
        <v>422600</v>
      </c>
      <c r="G27" s="105" t="s">
        <v>18</v>
      </c>
      <c r="H27" s="105">
        <v>389800</v>
      </c>
      <c r="J27" s="80" t="s">
        <v>128</v>
      </c>
      <c r="K27" s="80"/>
      <c r="L27" s="58"/>
      <c r="M27" s="58"/>
    </row>
    <row r="28" spans="2:14">
      <c r="C28" s="73" t="s">
        <v>5</v>
      </c>
      <c r="D28" s="73">
        <f>+D26-D27</f>
        <v>-422600</v>
      </c>
      <c r="E28" s="73"/>
      <c r="F28" s="73"/>
      <c r="G28" s="73" t="s">
        <v>5</v>
      </c>
      <c r="H28" s="73">
        <f>+H26-H27</f>
        <v>-389800</v>
      </c>
      <c r="J28" s="80" t="s">
        <v>100</v>
      </c>
      <c r="K28" s="80"/>
      <c r="L28" s="58">
        <v>31500</v>
      </c>
      <c r="M28" s="58"/>
    </row>
    <row r="29" spans="2:14">
      <c r="J29" s="80" t="s">
        <v>98</v>
      </c>
      <c r="K29" s="80"/>
      <c r="L29" s="58">
        <v>2500</v>
      </c>
      <c r="M29" s="117" t="s">
        <v>262</v>
      </c>
    </row>
    <row r="30" spans="2:14" ht="15.75" thickBot="1">
      <c r="J30" s="93" t="s">
        <v>99</v>
      </c>
      <c r="K30" s="93"/>
      <c r="L30" s="94">
        <f>SUM(L26:L29)</f>
        <v>846400</v>
      </c>
      <c r="M30" s="94">
        <f>SUM(M26:M29)</f>
        <v>0</v>
      </c>
    </row>
    <row r="31" spans="2:14" ht="15.75" thickTop="1">
      <c r="I31" s="49"/>
      <c r="J31" s="82" t="s">
        <v>4</v>
      </c>
      <c r="K31" s="82"/>
      <c r="L31" s="83">
        <v>849150</v>
      </c>
      <c r="M31" s="83"/>
    </row>
    <row r="32" spans="2:14" ht="15.75" thickBot="1">
      <c r="J32" s="95" t="s">
        <v>101</v>
      </c>
      <c r="K32" s="96"/>
      <c r="L32" s="97">
        <f>+L30-L31</f>
        <v>-2750</v>
      </c>
      <c r="M32" s="97">
        <f>+M30-M31</f>
        <v>0</v>
      </c>
      <c r="N32" t="s">
        <v>45</v>
      </c>
    </row>
    <row r="33" ht="15.75" thickTop="1"/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5"/>
  <sheetViews>
    <sheetView tabSelected="1" topLeftCell="A14" workbookViewId="0">
      <selection activeCell="K30" sqref="K30"/>
    </sheetView>
  </sheetViews>
  <sheetFormatPr defaultRowHeight="15"/>
  <cols>
    <col min="1" max="1" width="2.85546875" customWidth="1"/>
    <col min="2" max="3" width="10.5703125" style="105" bestFit="1" customWidth="1"/>
    <col min="4" max="4" width="10.42578125" style="105" customWidth="1"/>
    <col min="5" max="5" width="2.28515625" style="105" customWidth="1"/>
    <col min="6" max="7" width="9.28515625" style="105" bestFit="1" customWidth="1"/>
    <col min="8" max="8" width="12.5703125" style="105" customWidth="1"/>
    <col min="9" max="9" width="10.28515625" customWidth="1"/>
    <col min="10" max="10" width="13.42578125" customWidth="1"/>
    <col min="11" max="11" width="9" customWidth="1"/>
    <col min="12" max="12" width="11.5703125" style="105" bestFit="1" customWidth="1"/>
  </cols>
  <sheetData>
    <row r="1" spans="2:12">
      <c r="B1" s="105" t="s">
        <v>1</v>
      </c>
      <c r="F1" s="105" t="s">
        <v>51</v>
      </c>
    </row>
    <row r="3" spans="2:12">
      <c r="B3" s="58"/>
      <c r="C3" s="58"/>
      <c r="D3" s="58"/>
      <c r="E3" s="32"/>
      <c r="F3" s="58"/>
      <c r="G3" s="58"/>
      <c r="H3" s="58"/>
    </row>
    <row r="4" spans="2:12">
      <c r="B4" s="58"/>
      <c r="C4" s="58"/>
      <c r="D4" s="58"/>
      <c r="E4" s="32"/>
      <c r="F4" s="58"/>
      <c r="G4" s="58"/>
      <c r="H4" s="58"/>
    </row>
    <row r="5" spans="2:12">
      <c r="B5" s="58"/>
      <c r="C5" s="58"/>
      <c r="D5" s="58"/>
      <c r="E5" s="32"/>
      <c r="F5" s="58"/>
      <c r="G5" s="58"/>
      <c r="H5" s="58"/>
      <c r="J5" t="s">
        <v>2</v>
      </c>
    </row>
    <row r="6" spans="2:12">
      <c r="B6" s="58"/>
      <c r="C6" s="58"/>
      <c r="D6" s="58"/>
      <c r="E6" s="32"/>
      <c r="F6" s="58"/>
      <c r="G6" s="58"/>
      <c r="H6" s="58"/>
      <c r="J6" s="58"/>
    </row>
    <row r="7" spans="2:12">
      <c r="B7" s="58"/>
      <c r="C7" s="58"/>
      <c r="D7" s="58"/>
      <c r="E7" s="32"/>
      <c r="F7" s="58"/>
      <c r="G7" s="58"/>
      <c r="H7" s="58"/>
      <c r="J7" s="58"/>
      <c r="K7" s="115"/>
    </row>
    <row r="8" spans="2:12">
      <c r="B8" s="58"/>
      <c r="C8" s="58"/>
      <c r="D8" s="58"/>
      <c r="E8" s="32"/>
      <c r="F8" s="58"/>
      <c r="G8" s="58"/>
      <c r="H8" s="58"/>
      <c r="J8" s="58"/>
      <c r="K8" s="115"/>
    </row>
    <row r="9" spans="2:12">
      <c r="B9" s="58"/>
      <c r="C9" s="58"/>
      <c r="D9" s="58"/>
      <c r="E9" s="32"/>
      <c r="F9" s="58"/>
      <c r="G9" s="58"/>
      <c r="H9" s="58"/>
      <c r="J9" s="117"/>
      <c r="K9" s="115"/>
    </row>
    <row r="10" spans="2:12">
      <c r="B10" s="58"/>
      <c r="C10" s="58"/>
      <c r="D10" s="58"/>
      <c r="E10" s="32"/>
      <c r="F10" s="58"/>
      <c r="G10" s="58"/>
      <c r="H10" s="58"/>
      <c r="J10" s="58"/>
      <c r="K10" s="115"/>
      <c r="L10" s="116"/>
    </row>
    <row r="11" spans="2:12">
      <c r="B11" s="58"/>
      <c r="C11" s="58"/>
      <c r="D11" s="58"/>
      <c r="E11" s="32"/>
      <c r="F11" s="58"/>
      <c r="G11" s="58"/>
      <c r="H11" s="58"/>
      <c r="J11" s="58"/>
      <c r="K11" s="115"/>
    </row>
    <row r="12" spans="2:12">
      <c r="B12" s="58"/>
      <c r="C12" s="58"/>
      <c r="D12" s="58"/>
      <c r="E12" s="32"/>
      <c r="F12" s="58"/>
      <c r="G12" s="58"/>
      <c r="H12" s="58"/>
      <c r="J12" s="58"/>
      <c r="K12" s="115"/>
      <c r="L12" s="116"/>
    </row>
    <row r="13" spans="2:12">
      <c r="B13" s="58"/>
      <c r="C13" s="58"/>
      <c r="D13" s="58"/>
      <c r="E13" s="32"/>
      <c r="F13" s="58"/>
      <c r="G13" s="58"/>
      <c r="H13" s="58"/>
      <c r="J13" s="58"/>
      <c r="K13" s="108"/>
    </row>
    <row r="14" spans="2:12">
      <c r="B14" s="58"/>
      <c r="C14" s="58"/>
      <c r="D14" s="58"/>
      <c r="E14" s="32"/>
      <c r="F14" s="58"/>
      <c r="G14" s="58"/>
      <c r="H14" s="58"/>
      <c r="J14" s="58"/>
      <c r="K14" s="108"/>
    </row>
    <row r="15" spans="2:12">
      <c r="B15" s="58"/>
      <c r="C15" s="58"/>
      <c r="D15" s="58"/>
      <c r="E15" s="32"/>
      <c r="F15" s="58"/>
      <c r="G15" s="58"/>
      <c r="H15" s="58"/>
      <c r="J15" s="58"/>
      <c r="K15" s="108"/>
    </row>
    <row r="16" spans="2:12">
      <c r="B16" s="58"/>
      <c r="C16" s="58"/>
      <c r="D16" s="58"/>
      <c r="E16" s="32"/>
      <c r="F16" s="58"/>
      <c r="G16" s="58"/>
      <c r="H16" s="58"/>
      <c r="J16" s="58"/>
      <c r="K16" s="108"/>
    </row>
    <row r="17" spans="2:14">
      <c r="B17" s="58"/>
      <c r="C17" s="58"/>
      <c r="D17" s="58"/>
      <c r="E17" s="32"/>
      <c r="F17" s="58"/>
      <c r="G17" s="58"/>
      <c r="H17" s="58"/>
      <c r="J17" s="58"/>
      <c r="K17" s="108"/>
    </row>
    <row r="18" spans="2:14">
      <c r="B18" s="58"/>
      <c r="C18" s="58"/>
      <c r="D18" s="58"/>
      <c r="E18" s="32"/>
      <c r="F18" s="58"/>
      <c r="G18" s="58"/>
      <c r="H18" s="58"/>
      <c r="J18" s="58"/>
      <c r="K18" s="108"/>
    </row>
    <row r="19" spans="2:14">
      <c r="B19" s="58"/>
      <c r="C19" s="58"/>
      <c r="D19" s="58"/>
      <c r="E19" s="32"/>
      <c r="F19" s="58"/>
      <c r="G19" s="58"/>
      <c r="H19" s="58"/>
      <c r="J19" s="58"/>
      <c r="K19" s="108"/>
    </row>
    <row r="20" spans="2:14">
      <c r="B20" s="58"/>
      <c r="C20" s="58"/>
      <c r="D20" s="58"/>
      <c r="E20" s="32"/>
      <c r="F20" s="58"/>
      <c r="G20" s="58"/>
      <c r="H20" s="58"/>
      <c r="J20" s="58"/>
      <c r="K20" s="108"/>
    </row>
    <row r="21" spans="2:14">
      <c r="B21" s="58"/>
      <c r="C21" s="58"/>
      <c r="D21" s="58"/>
      <c r="E21" s="32"/>
      <c r="F21" s="58"/>
      <c r="G21" s="58"/>
      <c r="H21" s="58"/>
      <c r="J21" s="58"/>
      <c r="K21" s="108"/>
    </row>
    <row r="22" spans="2:14" ht="15.75" thickBot="1">
      <c r="B22" s="58"/>
      <c r="C22" s="58"/>
      <c r="D22" s="58"/>
      <c r="E22" s="32"/>
      <c r="F22" s="58"/>
      <c r="G22" s="58"/>
      <c r="H22" s="58"/>
      <c r="J22" s="76">
        <f>SUM(J6:J21)</f>
        <v>0</v>
      </c>
      <c r="K22" s="108"/>
    </row>
    <row r="23" spans="2:14" ht="15.75" thickTop="1">
      <c r="B23" s="58"/>
      <c r="C23" s="58"/>
      <c r="D23" s="58"/>
      <c r="E23" s="32"/>
      <c r="F23" s="58"/>
      <c r="G23" s="58"/>
      <c r="H23" s="58"/>
    </row>
    <row r="24" spans="2:14">
      <c r="B24" s="58"/>
      <c r="C24" s="58"/>
      <c r="D24" s="58"/>
      <c r="E24" s="32"/>
      <c r="F24" s="58"/>
      <c r="G24" s="58"/>
      <c r="H24" s="58"/>
      <c r="J24" s="25"/>
      <c r="K24" s="33"/>
      <c r="M24" s="49"/>
    </row>
    <row r="25" spans="2:14" s="105" customFormat="1" ht="15.75" thickBot="1">
      <c r="B25" s="72">
        <f>SUM(B3:B24)</f>
        <v>0</v>
      </c>
      <c r="C25" s="72">
        <f>SUM(C3:C24)</f>
        <v>0</v>
      </c>
      <c r="D25" s="72">
        <f>SUM(D3:D24)</f>
        <v>0</v>
      </c>
      <c r="E25" s="72"/>
      <c r="F25" s="72">
        <f>SUM(F3:F24)</f>
        <v>0</v>
      </c>
      <c r="G25" s="72">
        <f>SUM(G3:G24)</f>
        <v>0</v>
      </c>
      <c r="H25" s="72">
        <f>SUM(H3:H24)</f>
        <v>0</v>
      </c>
      <c r="I25" s="70">
        <f>+D26+H26</f>
        <v>0</v>
      </c>
      <c r="K25" s="4"/>
      <c r="L25" s="98" t="s">
        <v>18</v>
      </c>
      <c r="M25" s="98" t="s">
        <v>129</v>
      </c>
    </row>
    <row r="26" spans="2:14" ht="15.75" thickTop="1">
      <c r="C26" s="74" t="s">
        <v>1</v>
      </c>
      <c r="D26" s="75">
        <f>SUM(B25:D25)</f>
        <v>0</v>
      </c>
      <c r="E26" s="28"/>
      <c r="F26" s="28"/>
      <c r="G26" s="74" t="s">
        <v>17</v>
      </c>
      <c r="H26" s="75">
        <f>SUM(F25:H25)</f>
        <v>0</v>
      </c>
      <c r="J26" s="79" t="s">
        <v>97</v>
      </c>
      <c r="K26" s="79"/>
      <c r="L26" s="32">
        <f>+D27+H27</f>
        <v>940100</v>
      </c>
      <c r="M26" s="32">
        <f>+I25</f>
        <v>0</v>
      </c>
    </row>
    <row r="27" spans="2:14">
      <c r="C27" s="105" t="s">
        <v>18</v>
      </c>
      <c r="D27" s="28">
        <v>470650</v>
      </c>
      <c r="G27" s="105" t="s">
        <v>18</v>
      </c>
      <c r="H27" s="105">
        <v>469450</v>
      </c>
      <c r="J27" s="80" t="s">
        <v>128</v>
      </c>
      <c r="K27" s="80"/>
      <c r="L27" s="58"/>
      <c r="M27" s="58"/>
    </row>
    <row r="28" spans="2:14">
      <c r="C28" s="73" t="s">
        <v>5</v>
      </c>
      <c r="D28" s="73">
        <f>+D26-D27</f>
        <v>-470650</v>
      </c>
      <c r="E28" s="73"/>
      <c r="F28" s="73"/>
      <c r="G28" s="73" t="s">
        <v>5</v>
      </c>
      <c r="H28" s="73">
        <f>+H26-H27</f>
        <v>-469450</v>
      </c>
      <c r="J28" s="80" t="s">
        <v>100</v>
      </c>
      <c r="K28" s="80"/>
      <c r="L28" s="58">
        <v>33500</v>
      </c>
      <c r="M28" s="58"/>
    </row>
    <row r="29" spans="2:14">
      <c r="J29" s="80" t="s">
        <v>98</v>
      </c>
      <c r="K29" s="80"/>
      <c r="L29" s="58">
        <v>2000</v>
      </c>
      <c r="M29" s="58"/>
      <c r="N29" t="s">
        <v>275</v>
      </c>
    </row>
    <row r="30" spans="2:14" ht="15.75" thickBot="1">
      <c r="J30" s="93" t="s">
        <v>99</v>
      </c>
      <c r="K30" s="93"/>
      <c r="L30" s="94">
        <f>SUM(L26:L29)</f>
        <v>975600</v>
      </c>
      <c r="M30" s="94">
        <f>SUM(M26:M29)</f>
        <v>0</v>
      </c>
    </row>
    <row r="31" spans="2:14" ht="15.75" thickTop="1">
      <c r="J31" s="125" t="s">
        <v>4</v>
      </c>
      <c r="K31" s="125"/>
      <c r="L31" s="126">
        <v>982200</v>
      </c>
      <c r="M31" s="126"/>
    </row>
    <row r="32" spans="2:14">
      <c r="I32" s="49"/>
      <c r="J32" s="82" t="s">
        <v>276</v>
      </c>
      <c r="K32" s="82"/>
      <c r="L32" s="83">
        <v>-10800</v>
      </c>
      <c r="M32" s="83"/>
    </row>
    <row r="33" spans="9:14" ht="15.75" thickBot="1">
      <c r="I33" s="49"/>
      <c r="J33" s="93" t="s">
        <v>99</v>
      </c>
      <c r="K33" s="130"/>
      <c r="L33" s="124">
        <f>SUM(L31:L32)</f>
        <v>971400</v>
      </c>
      <c r="M33" s="131"/>
    </row>
    <row r="34" spans="9:14" ht="16.5" thickTop="1" thickBot="1">
      <c r="J34" s="127" t="s">
        <v>101</v>
      </c>
      <c r="K34" s="128"/>
      <c r="L34" s="129">
        <f>+L30-L33</f>
        <v>4200</v>
      </c>
      <c r="M34" s="129">
        <f>+M30-M32</f>
        <v>0</v>
      </c>
      <c r="N34" t="s">
        <v>130</v>
      </c>
    </row>
    <row r="35" spans="9:14" ht="15.75" thickTop="1"/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Sheet1</vt:lpstr>
      <vt:lpstr>Petty Cash</vt:lpstr>
      <vt:lpstr>Sheet5</vt:lpstr>
      <vt:lpstr>Sheet3</vt:lpstr>
      <vt:lpstr>Sheet2</vt:lpstr>
      <vt:lpstr>Sheet4</vt:lpstr>
      <vt:lpstr>1st</vt:lpstr>
      <vt:lpstr>2nd</vt:lpstr>
      <vt:lpstr>3th</vt:lpstr>
      <vt:lpstr>4th</vt:lpstr>
      <vt:lpstr>5th</vt:lpstr>
      <vt:lpstr>6th</vt:lpstr>
      <vt:lpstr>7th</vt:lpstr>
      <vt:lpstr>8th</vt:lpstr>
      <vt:lpstr>9th</vt:lpstr>
      <vt:lpstr>10th</vt:lpstr>
      <vt:lpstr>11th</vt:lpstr>
      <vt:lpstr>12TH</vt:lpstr>
      <vt:lpstr>13th</vt:lpstr>
      <vt:lpstr>14TH</vt:lpstr>
      <vt:lpstr>15th</vt:lpstr>
      <vt:lpstr>16th</vt:lpstr>
      <vt:lpstr>17th</vt:lpstr>
      <vt:lpstr>18th</vt:lpstr>
      <vt:lpstr>19th</vt:lpstr>
      <vt:lpstr>20th</vt:lpstr>
      <vt:lpstr>21st</vt:lpstr>
      <vt:lpstr>22nd</vt:lpstr>
      <vt:lpstr>23th</vt:lpstr>
      <vt:lpstr>24th</vt:lpstr>
      <vt:lpstr>25th</vt:lpstr>
      <vt:lpstr>26TH</vt:lpstr>
      <vt:lpstr>27th</vt:lpstr>
      <vt:lpstr>28th</vt:lpstr>
      <vt:lpstr>Shortage</vt:lpstr>
      <vt:lpstr>29th</vt:lpstr>
      <vt:lpstr>30TH</vt:lpstr>
      <vt:lpstr>31th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MANAGER</cp:lastModifiedBy>
  <cp:lastPrinted>2012-09-19T11:02:40Z</cp:lastPrinted>
  <dcterms:created xsi:type="dcterms:W3CDTF">2012-09-19T09:49:35Z</dcterms:created>
  <dcterms:modified xsi:type="dcterms:W3CDTF">2012-09-21T11:31:47Z</dcterms:modified>
</cp:coreProperties>
</file>