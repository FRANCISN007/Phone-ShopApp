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0055" windowHeight="7950"/>
  </bookViews>
  <sheets>
    <sheet name="Sheet1" sheetId="1" r:id="rId1"/>
  </sheets>
  <definedNames>
    <definedName name="_xlnm.Print_Area" localSheetId="0">Sheet1!$A$4:$AF$31</definedName>
  </definedNames>
  <calcPr calcId="124519"/>
</workbook>
</file>

<file path=xl/calcChain.xml><?xml version="1.0" encoding="utf-8"?>
<calcChain xmlns="http://schemas.openxmlformats.org/spreadsheetml/2006/main">
  <c r="N28" i="1"/>
  <c r="R20"/>
  <c r="K20"/>
  <c r="R19"/>
  <c r="K19"/>
  <c r="U18"/>
  <c r="V18" s="1"/>
  <c r="Q18"/>
  <c r="R18" s="1"/>
  <c r="M18"/>
  <c r="O18" s="1"/>
  <c r="O19" s="1"/>
  <c r="K18"/>
  <c r="R17"/>
  <c r="K17"/>
  <c r="R16"/>
  <c r="R15"/>
  <c r="R14"/>
  <c r="K14"/>
  <c r="R13"/>
  <c r="K13"/>
  <c r="U12"/>
  <c r="V12" s="1"/>
  <c r="Q12"/>
  <c r="R12" s="1"/>
  <c r="M12"/>
  <c r="K12"/>
  <c r="R11"/>
  <c r="K11"/>
  <c r="K10"/>
  <c r="K9"/>
  <c r="K8"/>
  <c r="R28" l="1"/>
  <c r="V28"/>
</calcChain>
</file>

<file path=xl/sharedStrings.xml><?xml version="1.0" encoding="utf-8"?>
<sst xmlns="http://schemas.openxmlformats.org/spreadsheetml/2006/main" count="91" uniqueCount="61">
  <si>
    <t xml:space="preserve">BAKERY </t>
  </si>
  <si>
    <t>MATERIALS  USAGE ANALYSIS</t>
  </si>
  <si>
    <t>Item Description</t>
  </si>
  <si>
    <t>Weight</t>
  </si>
  <si>
    <t>Prices</t>
  </si>
  <si>
    <t>Unit cost</t>
  </si>
  <si>
    <t>Sardine</t>
  </si>
  <si>
    <t>Chocolate</t>
  </si>
  <si>
    <t>Coconut</t>
  </si>
  <si>
    <t>Butter</t>
  </si>
  <si>
    <t>Fruits</t>
  </si>
  <si>
    <t>Qty Reqd</t>
  </si>
  <si>
    <t>FLOUR</t>
  </si>
  <si>
    <t>BUTTER-15kg</t>
  </si>
  <si>
    <t>Item ID</t>
  </si>
  <si>
    <t>Qty Needed</t>
  </si>
  <si>
    <t>Est Cost</t>
  </si>
  <si>
    <t>SUGAR-50kg</t>
  </si>
  <si>
    <t>JUMBO BREAD</t>
  </si>
  <si>
    <t>LARGE BREAD</t>
  </si>
  <si>
    <t>MEDIUM BREAD</t>
  </si>
  <si>
    <t>SALT-50KG</t>
  </si>
  <si>
    <t>. FLOUR</t>
  </si>
  <si>
    <t>YEAST-10kg</t>
  </si>
  <si>
    <t>. BUTTER</t>
  </si>
  <si>
    <t>SOFTENER-25KG</t>
  </si>
  <si>
    <t>. SUGAR</t>
  </si>
  <si>
    <t>ANA BAKE-12KG</t>
  </si>
  <si>
    <t>. SALT</t>
  </si>
  <si>
    <t>BUTTER- PAN REL-15kg</t>
  </si>
  <si>
    <t>. YEAST</t>
  </si>
  <si>
    <t>G/ NUT OIL-25LTRS</t>
  </si>
  <si>
    <t>. SOFTENER</t>
  </si>
  <si>
    <t>MILK-25KG</t>
  </si>
  <si>
    <t>. ANA BAKE</t>
  </si>
  <si>
    <t>PRESERVATIVES-25KG</t>
  </si>
  <si>
    <t>. GNUT OIL</t>
  </si>
  <si>
    <t>FLAVOR</t>
  </si>
  <si>
    <t>. MILK</t>
  </si>
  <si>
    <t>CONFLACO</t>
  </si>
  <si>
    <t>. PRESERVATIVES</t>
  </si>
  <si>
    <t>CELLOPINE</t>
  </si>
  <si>
    <t>. FLAVOR</t>
  </si>
  <si>
    <t>SARDINE</t>
  </si>
  <si>
    <t>FISH</t>
  </si>
  <si>
    <t>VEGETABLES</t>
  </si>
  <si>
    <t>. MILK  PHANTASY</t>
  </si>
  <si>
    <t>. CELLOPHINE</t>
  </si>
  <si>
    <t>. CELLOPHINE-LARGE</t>
  </si>
  <si>
    <t>. CELLOPHINE-MEDIUM</t>
  </si>
  <si>
    <t>JUMBO BREAD Total</t>
  </si>
  <si>
    <t>LARGE BREAD Total</t>
  </si>
  <si>
    <t>MEDIUM BREAD Total</t>
  </si>
  <si>
    <t>Meat Pie</t>
  </si>
  <si>
    <t>S/Roll</t>
  </si>
  <si>
    <t>V/Roll</t>
  </si>
  <si>
    <t>Hot Dog</t>
  </si>
  <si>
    <t>M/Dough</t>
  </si>
  <si>
    <t>Cut Cake</t>
  </si>
  <si>
    <t>Beef Gala</t>
  </si>
  <si>
    <t>Cho/Doug</t>
  </si>
</sst>
</file>

<file path=xl/styles.xml><?xml version="1.0" encoding="utf-8"?>
<styleSheet xmlns="http://schemas.openxmlformats.org/spreadsheetml/2006/main">
  <numFmts count="8">
    <numFmt numFmtId="164" formatCode="_(* #,##0.00_);_(* \(#,##0.00\);_(* &quot;-&quot;??_);_(@_)"/>
    <numFmt numFmtId="165" formatCode="_(* #,##0_);_(* \(#,##0\);_(* &quot;-&quot;??_);_(@_)"/>
    <numFmt numFmtId="166" formatCode="#,##0.00000;\-#,##0.00000;* ??"/>
    <numFmt numFmtId="167" formatCode="#,##0;\-#,##0;* ??"/>
    <numFmt numFmtId="168" formatCode="#,##0.00;\-#,##0.00;* ??"/>
    <numFmt numFmtId="169" formatCode="_(* #,##0.0000_);_(* \(#,##0.0000\);_(* &quot;-&quot;??_);_(@_)"/>
    <numFmt numFmtId="170" formatCode="0.0000"/>
    <numFmt numFmtId="171" formatCode="_(* #,##0.00000_);_(* \(#,##0.0000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33CC"/>
      <name val="Arial"/>
      <family val="2"/>
    </font>
    <font>
      <b/>
      <sz val="12"/>
      <color rgb="FF0033CC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sz val="14"/>
      <color rgb="FF0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right"/>
    </xf>
    <xf numFmtId="9" fontId="2" fillId="0" borderId="0" xfId="0" applyNumberFormat="1" applyFont="1" applyAlignment="1">
      <alignment horizontal="left"/>
    </xf>
    <xf numFmtId="0" fontId="5" fillId="0" borderId="0" xfId="0" applyFont="1" applyBorder="1"/>
    <xf numFmtId="49" fontId="5" fillId="0" borderId="2" xfId="0" applyNumberFormat="1" applyFont="1" applyBorder="1" applyAlignment="1">
      <alignment horizontal="left"/>
    </xf>
    <xf numFmtId="49" fontId="5" fillId="0" borderId="3" xfId="0" applyNumberFormat="1" applyFont="1" applyBorder="1" applyAlignment="1">
      <alignment horizontal="center"/>
    </xf>
    <xf numFmtId="0" fontId="5" fillId="0" borderId="4" xfId="0" applyFont="1" applyBorder="1"/>
    <xf numFmtId="0" fontId="6" fillId="0" borderId="0" xfId="0" applyFont="1"/>
    <xf numFmtId="49" fontId="5" fillId="0" borderId="5" xfId="0" applyNumberFormat="1" applyFont="1" applyBorder="1" applyAlignment="1">
      <alignment horizontal="left"/>
    </xf>
    <xf numFmtId="167" fontId="6" fillId="2" borderId="6" xfId="0" applyNumberFormat="1" applyFont="1" applyFill="1" applyBorder="1" applyAlignment="1">
      <alignment horizontal="center"/>
    </xf>
    <xf numFmtId="165" fontId="5" fillId="0" borderId="6" xfId="1" applyNumberFormat="1" applyFont="1" applyBorder="1" applyAlignment="1">
      <alignment horizontal="left"/>
    </xf>
    <xf numFmtId="165" fontId="5" fillId="2" borderId="6" xfId="1" applyNumberFormat="1" applyFont="1" applyFill="1" applyBorder="1" applyAlignment="1">
      <alignment horizontal="left"/>
    </xf>
    <xf numFmtId="165" fontId="5" fillId="3" borderId="6" xfId="1" applyNumberFormat="1" applyFont="1" applyFill="1" applyBorder="1" applyAlignment="1">
      <alignment horizontal="left"/>
    </xf>
    <xf numFmtId="0" fontId="5" fillId="0" borderId="6" xfId="1" applyNumberFormat="1" applyFont="1" applyBorder="1" applyAlignment="1">
      <alignment horizontal="center"/>
    </xf>
    <xf numFmtId="166" fontId="5" fillId="2" borderId="6" xfId="0" applyNumberFormat="1" applyFont="1" applyFill="1" applyBorder="1" applyAlignment="1">
      <alignment horizontal="right"/>
    </xf>
    <xf numFmtId="49" fontId="5" fillId="0" borderId="7" xfId="0" applyNumberFormat="1" applyFont="1" applyBorder="1" applyAlignment="1">
      <alignment horizontal="left"/>
    </xf>
    <xf numFmtId="167" fontId="6" fillId="2" borderId="8" xfId="0" applyNumberFormat="1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left"/>
    </xf>
    <xf numFmtId="49" fontId="7" fillId="0" borderId="4" xfId="0" applyNumberFormat="1" applyFont="1" applyBorder="1" applyAlignment="1">
      <alignment horizontal="right"/>
    </xf>
    <xf numFmtId="168" fontId="2" fillId="0" borderId="0" xfId="0" applyNumberFormat="1" applyFont="1" applyAlignment="1">
      <alignment horizontal="right"/>
    </xf>
    <xf numFmtId="166" fontId="2" fillId="4" borderId="0" xfId="0" applyNumberFormat="1" applyFont="1" applyFill="1" applyAlignment="1">
      <alignment horizontal="right"/>
    </xf>
    <xf numFmtId="49" fontId="8" fillId="0" borderId="7" xfId="0" applyNumberFormat="1" applyFont="1" applyBorder="1" applyAlignment="1">
      <alignment horizontal="left"/>
    </xf>
    <xf numFmtId="49" fontId="5" fillId="5" borderId="7" xfId="0" applyNumberFormat="1" applyFont="1" applyFill="1" applyBorder="1" applyAlignment="1">
      <alignment horizontal="left"/>
    </xf>
    <xf numFmtId="167" fontId="6" fillId="5" borderId="8" xfId="0" applyNumberFormat="1" applyFont="1" applyFill="1" applyBorder="1" applyAlignment="1">
      <alignment horizontal="center"/>
    </xf>
    <xf numFmtId="165" fontId="5" fillId="5" borderId="6" xfId="1" applyNumberFormat="1" applyFont="1" applyFill="1" applyBorder="1" applyAlignment="1">
      <alignment horizontal="left"/>
    </xf>
    <xf numFmtId="166" fontId="5" fillId="5" borderId="6" xfId="0" applyNumberFormat="1" applyFont="1" applyFill="1" applyBorder="1" applyAlignment="1">
      <alignment horizontal="right"/>
    </xf>
    <xf numFmtId="164" fontId="6" fillId="0" borderId="0" xfId="0" applyNumberFormat="1" applyFont="1"/>
    <xf numFmtId="166" fontId="5" fillId="2" borderId="8" xfId="0" applyNumberFormat="1" applyFont="1" applyFill="1" applyBorder="1" applyAlignment="1">
      <alignment horizontal="right"/>
    </xf>
    <xf numFmtId="49" fontId="5" fillId="0" borderId="9" xfId="0" applyNumberFormat="1" applyFont="1" applyBorder="1" applyAlignment="1">
      <alignment horizontal="left"/>
    </xf>
    <xf numFmtId="49" fontId="5" fillId="3" borderId="9" xfId="0" applyNumberFormat="1" applyFont="1" applyFill="1" applyBorder="1" applyAlignment="1">
      <alignment horizontal="left"/>
    </xf>
    <xf numFmtId="0" fontId="6" fillId="3" borderId="0" xfId="0" applyFont="1" applyFill="1"/>
    <xf numFmtId="165" fontId="5" fillId="0" borderId="8" xfId="1" applyNumberFormat="1" applyFont="1" applyBorder="1" applyAlignment="1">
      <alignment horizontal="left"/>
    </xf>
    <xf numFmtId="165" fontId="5" fillId="2" borderId="8" xfId="1" applyNumberFormat="1" applyFont="1" applyFill="1" applyBorder="1" applyAlignment="1">
      <alignment horizontal="left"/>
    </xf>
    <xf numFmtId="165" fontId="5" fillId="3" borderId="8" xfId="1" applyNumberFormat="1" applyFont="1" applyFill="1" applyBorder="1" applyAlignment="1">
      <alignment horizontal="left"/>
    </xf>
    <xf numFmtId="0" fontId="5" fillId="0" borderId="8" xfId="1" applyNumberFormat="1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167" fontId="6" fillId="2" borderId="10" xfId="0" applyNumberFormat="1" applyFont="1" applyFill="1" applyBorder="1" applyAlignment="1">
      <alignment horizontal="center"/>
    </xf>
    <xf numFmtId="165" fontId="5" fillId="0" borderId="11" xfId="1" applyNumberFormat="1" applyFont="1" applyBorder="1" applyAlignment="1">
      <alignment horizontal="left"/>
    </xf>
    <xf numFmtId="165" fontId="5" fillId="2" borderId="11" xfId="1" applyNumberFormat="1" applyFont="1" applyFill="1" applyBorder="1" applyAlignment="1">
      <alignment horizontal="left"/>
    </xf>
    <xf numFmtId="165" fontId="5" fillId="3" borderId="11" xfId="1" applyNumberFormat="1" applyFont="1" applyFill="1" applyBorder="1" applyAlignment="1">
      <alignment horizontal="left"/>
    </xf>
    <xf numFmtId="0" fontId="5" fillId="0" borderId="11" xfId="1" applyNumberFormat="1" applyFont="1" applyBorder="1" applyAlignment="1">
      <alignment horizontal="center"/>
    </xf>
    <xf numFmtId="166" fontId="5" fillId="2" borderId="11" xfId="0" applyNumberFormat="1" applyFont="1" applyFill="1" applyBorder="1" applyAlignment="1">
      <alignment horizontal="right"/>
    </xf>
    <xf numFmtId="0" fontId="0" fillId="0" borderId="12" xfId="0" applyBorder="1"/>
    <xf numFmtId="0" fontId="0" fillId="0" borderId="0" xfId="0" applyBorder="1"/>
    <xf numFmtId="49" fontId="6" fillId="0" borderId="13" xfId="0" applyNumberFormat="1" applyFont="1" applyBorder="1" applyAlignment="1">
      <alignment horizontal="left"/>
    </xf>
    <xf numFmtId="167" fontId="6" fillId="2" borderId="14" xfId="0" applyNumberFormat="1" applyFont="1" applyFill="1" applyBorder="1" applyAlignment="1">
      <alignment horizontal="center"/>
    </xf>
    <xf numFmtId="165" fontId="5" fillId="0" borderId="15" xfId="1" applyNumberFormat="1" applyFont="1" applyBorder="1" applyAlignment="1">
      <alignment horizontal="left"/>
    </xf>
    <xf numFmtId="165" fontId="5" fillId="2" borderId="15" xfId="1" applyNumberFormat="1" applyFont="1" applyFill="1" applyBorder="1" applyAlignment="1">
      <alignment horizontal="left"/>
    </xf>
    <xf numFmtId="165" fontId="5" fillId="3" borderId="15" xfId="1" applyNumberFormat="1" applyFont="1" applyFill="1" applyBorder="1" applyAlignment="1">
      <alignment horizontal="left"/>
    </xf>
    <xf numFmtId="0" fontId="5" fillId="0" borderId="15" xfId="1" applyNumberFormat="1" applyFont="1" applyBorder="1" applyAlignment="1">
      <alignment horizontal="center"/>
    </xf>
    <xf numFmtId="0" fontId="9" fillId="0" borderId="0" xfId="0" applyFont="1" applyBorder="1" applyAlignment="1">
      <alignment horizontal="right"/>
    </xf>
    <xf numFmtId="169" fontId="2" fillId="0" borderId="0" xfId="0" applyNumberFormat="1" applyFont="1"/>
    <xf numFmtId="49" fontId="10" fillId="0" borderId="0" xfId="0" applyNumberFormat="1" applyFont="1" applyAlignment="1">
      <alignment horizontal="center"/>
    </xf>
    <xf numFmtId="170" fontId="2" fillId="0" borderId="0" xfId="0" applyNumberFormat="1" applyFont="1"/>
    <xf numFmtId="171" fontId="2" fillId="0" borderId="0" xfId="0" applyNumberFormat="1" applyFont="1"/>
    <xf numFmtId="0" fontId="2" fillId="0" borderId="1" xfId="0" applyFont="1" applyBorder="1"/>
    <xf numFmtId="0" fontId="2" fillId="0" borderId="0" xfId="0" applyFont="1" applyBorder="1"/>
    <xf numFmtId="0" fontId="7" fillId="0" borderId="0" xfId="0" applyFont="1"/>
    <xf numFmtId="49" fontId="11" fillId="0" borderId="3" xfId="0" applyNumberFormat="1" applyFont="1" applyBorder="1" applyAlignment="1">
      <alignment horizontal="right"/>
    </xf>
    <xf numFmtId="49" fontId="11" fillId="2" borderId="3" xfId="0" applyNumberFormat="1" applyFont="1" applyFill="1" applyBorder="1" applyAlignment="1">
      <alignment horizontal="right"/>
    </xf>
    <xf numFmtId="49" fontId="11" fillId="3" borderId="3" xfId="0" applyNumberFormat="1" applyFont="1" applyFill="1" applyBorder="1" applyAlignment="1">
      <alignment horizontal="right"/>
    </xf>
    <xf numFmtId="49" fontId="11" fillId="0" borderId="3" xfId="0" applyNumberFormat="1" applyFont="1" applyBorder="1" applyAlignment="1">
      <alignment horizontal="center"/>
    </xf>
    <xf numFmtId="0" fontId="1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54"/>
  <sheetViews>
    <sheetView tabSelected="1" topLeftCell="A3" workbookViewId="0">
      <selection activeCell="G9" sqref="G9"/>
    </sheetView>
  </sheetViews>
  <sheetFormatPr defaultRowHeight="12"/>
  <cols>
    <col min="1" max="1" width="1" style="1" customWidth="1"/>
    <col min="2" max="2" width="27.85546875" style="2" customWidth="1"/>
    <col min="3" max="3" width="7.85546875" style="2" customWidth="1"/>
    <col min="4" max="4" width="7.42578125" style="2" customWidth="1"/>
    <col min="5" max="5" width="11" style="2" hidden="1" customWidth="1"/>
    <col min="6" max="6" width="8.28515625" style="2" customWidth="1"/>
    <col min="7" max="7" width="10.5703125" style="2" customWidth="1"/>
    <col min="8" max="8" width="9.28515625" style="2" customWidth="1"/>
    <col min="9" max="9" width="6.85546875" style="2" customWidth="1"/>
    <col min="10" max="10" width="6.42578125" style="7" customWidth="1"/>
    <col min="11" max="11" width="12" style="5" hidden="1" customWidth="1"/>
    <col min="12" max="12" width="17" style="1" hidden="1" customWidth="1"/>
    <col min="13" max="18" width="9.140625" style="1" hidden="1" customWidth="1"/>
    <col min="19" max="19" width="4.7109375" style="1" hidden="1" customWidth="1"/>
    <col min="20" max="24" width="9.140625" style="1" hidden="1" customWidth="1"/>
    <col min="25" max="25" width="9.140625" style="2" customWidth="1"/>
    <col min="26" max="26" width="6.85546875" style="2" customWidth="1"/>
    <col min="27" max="27" width="9" style="2" customWidth="1"/>
    <col min="28" max="28" width="10.85546875" style="2" customWidth="1"/>
    <col min="29" max="29" width="6.7109375" style="2" customWidth="1"/>
    <col min="30" max="30" width="8.85546875" style="7" customWidth="1"/>
    <col min="31" max="31" width="10.42578125" style="7" customWidth="1"/>
    <col min="32" max="32" width="9.140625" style="2" customWidth="1"/>
    <col min="33" max="16384" width="9.140625" style="1"/>
  </cols>
  <sheetData>
    <row r="1" spans="1:32" hidden="1">
      <c r="D1" s="3"/>
      <c r="J1" s="4"/>
      <c r="AD1" s="4"/>
      <c r="AE1" s="4"/>
    </row>
    <row r="2" spans="1:32" hidden="1">
      <c r="D2" s="6"/>
    </row>
    <row r="3" spans="1:32">
      <c r="D3" s="6"/>
    </row>
    <row r="4" spans="1:32" ht="26.25" customHeight="1">
      <c r="B4" s="8" t="s">
        <v>0</v>
      </c>
      <c r="D4" s="6"/>
    </row>
    <row r="5" spans="1:32" ht="26.25" customHeight="1">
      <c r="B5" s="8" t="s">
        <v>1</v>
      </c>
      <c r="D5" s="6"/>
    </row>
    <row r="6" spans="1:32" ht="16.5" thickBot="1">
      <c r="B6" s="9"/>
      <c r="C6" s="9"/>
      <c r="D6" s="9"/>
      <c r="J6" s="2"/>
      <c r="K6" s="10"/>
      <c r="AD6" s="2"/>
      <c r="AE6" s="2"/>
    </row>
    <row r="7" spans="1:32" s="14" customFormat="1" ht="17.25" thickTop="1" thickBot="1">
      <c r="A7" s="11"/>
      <c r="B7" s="12" t="s">
        <v>2</v>
      </c>
      <c r="C7" s="13" t="s">
        <v>3</v>
      </c>
      <c r="D7" s="68" t="s">
        <v>4</v>
      </c>
      <c r="E7" s="69" t="s">
        <v>5</v>
      </c>
      <c r="F7" s="70" t="s">
        <v>6</v>
      </c>
      <c r="G7" s="70" t="s">
        <v>7</v>
      </c>
      <c r="H7" s="70" t="s">
        <v>8</v>
      </c>
      <c r="I7" s="70" t="s">
        <v>9</v>
      </c>
      <c r="J7" s="71" t="s">
        <v>10</v>
      </c>
      <c r="K7" s="69" t="s">
        <v>11</v>
      </c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0" t="s">
        <v>53</v>
      </c>
      <c r="Z7" s="70" t="s">
        <v>54</v>
      </c>
      <c r="AA7" s="70" t="s">
        <v>58</v>
      </c>
      <c r="AB7" s="70" t="s">
        <v>59</v>
      </c>
      <c r="AC7" s="70" t="s">
        <v>55</v>
      </c>
      <c r="AD7" s="71" t="s">
        <v>56</v>
      </c>
      <c r="AE7" s="71" t="s">
        <v>60</v>
      </c>
      <c r="AF7" s="70" t="s">
        <v>57</v>
      </c>
    </row>
    <row r="8" spans="1:32" s="15" customFormat="1" ht="15.75">
      <c r="B8" s="16" t="s">
        <v>12</v>
      </c>
      <c r="C8" s="17">
        <v>50</v>
      </c>
      <c r="D8" s="18"/>
      <c r="E8" s="19"/>
      <c r="F8" s="20"/>
      <c r="G8" s="20"/>
      <c r="H8" s="20"/>
      <c r="I8" s="20"/>
      <c r="J8" s="21"/>
      <c r="K8" s="22" t="e">
        <f>+J8/#REF!</f>
        <v>#REF!</v>
      </c>
      <c r="N8" s="15">
        <v>61</v>
      </c>
      <c r="Y8" s="20"/>
      <c r="Z8" s="20"/>
      <c r="AA8" s="20"/>
      <c r="AB8" s="20"/>
      <c r="AC8" s="20"/>
      <c r="AD8" s="21"/>
      <c r="AE8" s="21"/>
      <c r="AF8" s="20"/>
    </row>
    <row r="9" spans="1:32" s="15" customFormat="1" ht="15.75">
      <c r="B9" s="23" t="s">
        <v>13</v>
      </c>
      <c r="C9" s="24">
        <v>15</v>
      </c>
      <c r="D9" s="18"/>
      <c r="E9" s="19"/>
      <c r="F9" s="20"/>
      <c r="G9" s="20"/>
      <c r="H9" s="20"/>
      <c r="I9" s="20"/>
      <c r="J9" s="21"/>
      <c r="K9" s="22" t="e">
        <f>+J9/#REF!</f>
        <v>#REF!</v>
      </c>
      <c r="L9" s="25" t="s">
        <v>14</v>
      </c>
      <c r="M9" s="26" t="s">
        <v>15</v>
      </c>
      <c r="N9" s="26" t="s">
        <v>16</v>
      </c>
      <c r="P9" s="25" t="s">
        <v>14</v>
      </c>
      <c r="Q9" s="26" t="s">
        <v>15</v>
      </c>
      <c r="R9" s="26" t="s">
        <v>16</v>
      </c>
      <c r="T9" s="25" t="s">
        <v>14</v>
      </c>
      <c r="U9" s="26" t="s">
        <v>15</v>
      </c>
      <c r="V9" s="26" t="s">
        <v>16</v>
      </c>
      <c r="Y9" s="20"/>
      <c r="Z9" s="20"/>
      <c r="AA9" s="20"/>
      <c r="AB9" s="20"/>
      <c r="AC9" s="20"/>
      <c r="AD9" s="21"/>
      <c r="AE9" s="21"/>
      <c r="AF9" s="20"/>
    </row>
    <row r="10" spans="1:32" s="15" customFormat="1" ht="15.75">
      <c r="B10" s="23" t="s">
        <v>17</v>
      </c>
      <c r="C10" s="24">
        <v>50</v>
      </c>
      <c r="D10" s="18"/>
      <c r="E10" s="19"/>
      <c r="F10" s="20"/>
      <c r="G10" s="20"/>
      <c r="H10" s="20"/>
      <c r="I10" s="20"/>
      <c r="J10" s="21"/>
      <c r="K10" s="22" t="e">
        <f>+J10/#REF!</f>
        <v>#REF!</v>
      </c>
      <c r="L10" s="2" t="s">
        <v>18</v>
      </c>
      <c r="M10" s="5"/>
      <c r="N10" s="27"/>
      <c r="P10" s="2" t="s">
        <v>19</v>
      </c>
      <c r="Q10" s="5"/>
      <c r="R10" s="27"/>
      <c r="T10" s="2" t="s">
        <v>20</v>
      </c>
      <c r="U10" s="5"/>
      <c r="V10" s="27"/>
      <c r="Y10" s="20"/>
      <c r="Z10" s="20"/>
      <c r="AA10" s="20"/>
      <c r="AB10" s="20"/>
      <c r="AC10" s="20"/>
      <c r="AD10" s="21"/>
      <c r="AE10" s="21"/>
      <c r="AF10" s="20"/>
    </row>
    <row r="11" spans="1:32" s="15" customFormat="1" ht="15.75">
      <c r="B11" s="23" t="s">
        <v>21</v>
      </c>
      <c r="C11" s="24">
        <v>50</v>
      </c>
      <c r="D11" s="18"/>
      <c r="E11" s="19"/>
      <c r="F11" s="20"/>
      <c r="G11" s="20"/>
      <c r="H11" s="20"/>
      <c r="I11" s="20"/>
      <c r="J11" s="21"/>
      <c r="K11" s="22" t="e">
        <f>+J11/#REF!</f>
        <v>#REF!</v>
      </c>
      <c r="L11" s="2" t="s">
        <v>22</v>
      </c>
      <c r="M11" s="5">
        <v>0.81967000000000001</v>
      </c>
      <c r="N11" s="27">
        <v>370.19575880000002</v>
      </c>
      <c r="P11" s="2" t="s">
        <v>22</v>
      </c>
      <c r="Q11" s="5">
        <v>0.49504950495049505</v>
      </c>
      <c r="R11" s="27">
        <f>+Q11*E8</f>
        <v>0</v>
      </c>
      <c r="T11" s="2" t="s">
        <v>22</v>
      </c>
      <c r="U11" s="5">
        <v>0.30864000000000003</v>
      </c>
      <c r="V11" s="27">
        <v>139.3941696</v>
      </c>
      <c r="Y11" s="20"/>
      <c r="Z11" s="20"/>
      <c r="AA11" s="20"/>
      <c r="AB11" s="20"/>
      <c r="AC11" s="20"/>
      <c r="AD11" s="21"/>
      <c r="AE11" s="21"/>
      <c r="AF11" s="20"/>
    </row>
    <row r="12" spans="1:32" s="15" customFormat="1" ht="15.75">
      <c r="B12" s="23" t="s">
        <v>23</v>
      </c>
      <c r="C12" s="24">
        <v>10</v>
      </c>
      <c r="D12" s="18"/>
      <c r="E12" s="19"/>
      <c r="F12" s="20"/>
      <c r="G12" s="20"/>
      <c r="H12" s="20"/>
      <c r="I12" s="20"/>
      <c r="J12" s="21"/>
      <c r="K12" s="22" t="e">
        <f>+J12/#REF!</f>
        <v>#REF!</v>
      </c>
      <c r="L12" s="2" t="s">
        <v>24</v>
      </c>
      <c r="M12" s="28">
        <f>0.01475+0.0006</f>
        <v>1.5349999999999999E-2</v>
      </c>
      <c r="N12" s="27">
        <v>19.440000000000001</v>
      </c>
      <c r="P12" s="2" t="s">
        <v>24</v>
      </c>
      <c r="Q12" s="28">
        <f>0.00882+0.0005</f>
        <v>9.3200000000000002E-3</v>
      </c>
      <c r="R12" s="27">
        <f>+Q12*E9</f>
        <v>0</v>
      </c>
      <c r="T12" s="2" t="s">
        <v>24</v>
      </c>
      <c r="U12" s="28">
        <f>0.00556+0.0002</f>
        <v>5.7599999999999995E-3</v>
      </c>
      <c r="V12" s="27">
        <f>+U12*E9</f>
        <v>0</v>
      </c>
      <c r="Y12" s="20"/>
      <c r="Z12" s="20"/>
      <c r="AA12" s="20"/>
      <c r="AB12" s="20"/>
      <c r="AC12" s="20"/>
      <c r="AD12" s="21"/>
      <c r="AE12" s="21"/>
      <c r="AF12" s="20"/>
    </row>
    <row r="13" spans="1:32" s="15" customFormat="1" ht="15.75">
      <c r="B13" s="29" t="s">
        <v>25</v>
      </c>
      <c r="C13" s="24">
        <v>25</v>
      </c>
      <c r="D13" s="18"/>
      <c r="E13" s="19"/>
      <c r="F13" s="20"/>
      <c r="G13" s="20"/>
      <c r="H13" s="20"/>
      <c r="I13" s="20"/>
      <c r="J13" s="21"/>
      <c r="K13" s="22" t="e">
        <f>+J13/#REF!</f>
        <v>#REF!</v>
      </c>
      <c r="L13" s="2" t="s">
        <v>26</v>
      </c>
      <c r="M13" s="5">
        <v>8.1970000000000001E-2</v>
      </c>
      <c r="N13" s="27">
        <v>39.345599999999997</v>
      </c>
      <c r="P13" s="2" t="s">
        <v>26</v>
      </c>
      <c r="Q13" s="5">
        <v>4.9504950495049507E-2</v>
      </c>
      <c r="R13" s="27">
        <f>+Q13*E10</f>
        <v>0</v>
      </c>
      <c r="T13" s="2" t="s">
        <v>26</v>
      </c>
      <c r="U13" s="5">
        <v>3.0859999999999999E-2</v>
      </c>
      <c r="V13" s="27">
        <v>14.812799999999999</v>
      </c>
      <c r="Y13" s="20"/>
      <c r="Z13" s="20"/>
      <c r="AA13" s="20"/>
      <c r="AB13" s="20"/>
      <c r="AC13" s="20"/>
      <c r="AD13" s="21"/>
      <c r="AE13" s="21"/>
      <c r="AF13" s="20"/>
    </row>
    <row r="14" spans="1:32" s="15" customFormat="1" ht="15.75">
      <c r="B14" s="23" t="s">
        <v>27</v>
      </c>
      <c r="C14" s="24">
        <v>12</v>
      </c>
      <c r="D14" s="18"/>
      <c r="E14" s="19"/>
      <c r="F14" s="20"/>
      <c r="G14" s="20"/>
      <c r="H14" s="20"/>
      <c r="I14" s="20"/>
      <c r="J14" s="21"/>
      <c r="K14" s="22" t="e">
        <f>+J14/#REF!</f>
        <v>#REF!</v>
      </c>
      <c r="L14" s="2" t="s">
        <v>28</v>
      </c>
      <c r="M14" s="5">
        <v>1.23E-2</v>
      </c>
      <c r="N14" s="27">
        <v>1.599</v>
      </c>
      <c r="P14" s="2" t="s">
        <v>28</v>
      </c>
      <c r="Q14" s="5">
        <v>7.4257425742574254E-3</v>
      </c>
      <c r="R14" s="27">
        <f>+Q14*E11</f>
        <v>0</v>
      </c>
      <c r="T14" s="2" t="s">
        <v>28</v>
      </c>
      <c r="U14" s="5">
        <v>4.6299999999999996E-3</v>
      </c>
      <c r="V14" s="27">
        <v>0.60189999999999999</v>
      </c>
      <c r="Y14" s="20"/>
      <c r="Z14" s="20"/>
      <c r="AA14" s="20"/>
      <c r="AB14" s="20"/>
      <c r="AC14" s="20"/>
      <c r="AD14" s="21"/>
      <c r="AE14" s="21"/>
      <c r="AF14" s="20"/>
    </row>
    <row r="15" spans="1:32" s="15" customFormat="1" ht="15.75">
      <c r="B15" s="30" t="s">
        <v>29</v>
      </c>
      <c r="C15" s="31">
        <v>15</v>
      </c>
      <c r="D15" s="18"/>
      <c r="E15" s="32"/>
      <c r="F15" s="20"/>
      <c r="G15" s="20"/>
      <c r="H15" s="20"/>
      <c r="I15" s="20"/>
      <c r="J15" s="21"/>
      <c r="K15" s="33">
        <v>2.5454602067505295E-4</v>
      </c>
      <c r="L15" s="2" t="s">
        <v>30</v>
      </c>
      <c r="M15" s="5">
        <v>1.23E-2</v>
      </c>
      <c r="N15" s="27">
        <v>24.6</v>
      </c>
      <c r="P15" s="2" t="s">
        <v>30</v>
      </c>
      <c r="Q15" s="5">
        <v>7.3499999999999998E-3</v>
      </c>
      <c r="R15" s="27">
        <f>+Q15*E12</f>
        <v>0</v>
      </c>
      <c r="T15" s="2" t="s">
        <v>30</v>
      </c>
      <c r="U15" s="5">
        <v>4.6299999999999996E-3</v>
      </c>
      <c r="V15" s="27">
        <v>9.26</v>
      </c>
      <c r="Y15" s="20"/>
      <c r="Z15" s="20"/>
      <c r="AA15" s="20"/>
      <c r="AB15" s="20"/>
      <c r="AC15" s="20"/>
      <c r="AD15" s="21"/>
      <c r="AE15" s="21"/>
      <c r="AF15" s="20"/>
    </row>
    <row r="16" spans="1:32" s="15" customFormat="1" ht="15.75">
      <c r="B16" s="30" t="s">
        <v>31</v>
      </c>
      <c r="C16" s="31">
        <v>25</v>
      </c>
      <c r="D16" s="18"/>
      <c r="E16" s="32"/>
      <c r="F16" s="20"/>
      <c r="G16" s="20"/>
      <c r="H16" s="20"/>
      <c r="I16" s="20"/>
      <c r="J16" s="21"/>
      <c r="K16" s="33">
        <v>2.1801395289298514E-4</v>
      </c>
      <c r="L16" s="2" t="s">
        <v>32</v>
      </c>
      <c r="M16" s="5">
        <v>3.3E-4</v>
      </c>
      <c r="N16" s="27">
        <v>6.5339999999999998</v>
      </c>
      <c r="P16" s="2" t="s">
        <v>32</v>
      </c>
      <c r="Q16" s="5">
        <v>2.0000000000000001E-4</v>
      </c>
      <c r="R16" s="27">
        <f>+Q16*E13</f>
        <v>0</v>
      </c>
      <c r="T16" s="2" t="s">
        <v>32</v>
      </c>
      <c r="U16" s="5">
        <v>1.2E-4</v>
      </c>
      <c r="V16" s="27">
        <v>1.98</v>
      </c>
      <c r="Y16" s="20"/>
      <c r="Z16" s="20"/>
      <c r="AA16" s="20"/>
      <c r="AB16" s="20"/>
      <c r="AC16" s="20"/>
      <c r="AD16" s="21"/>
      <c r="AE16" s="21"/>
      <c r="AF16" s="20"/>
    </row>
    <row r="17" spans="2:32" s="15" customFormat="1" ht="15.75">
      <c r="B17" s="23" t="s">
        <v>33</v>
      </c>
      <c r="C17" s="24">
        <v>25</v>
      </c>
      <c r="D17" s="18"/>
      <c r="E17" s="19"/>
      <c r="F17" s="20"/>
      <c r="G17" s="20"/>
      <c r="H17" s="20"/>
      <c r="I17" s="20"/>
      <c r="J17" s="21"/>
      <c r="K17" s="22" t="e">
        <f>+J17/#REF!</f>
        <v>#REF!</v>
      </c>
      <c r="L17" s="2" t="s">
        <v>34</v>
      </c>
      <c r="M17" s="5">
        <v>1.15E-3</v>
      </c>
      <c r="N17" s="27">
        <v>1.3416705</v>
      </c>
      <c r="P17" s="2" t="s">
        <v>34</v>
      </c>
      <c r="Q17" s="5">
        <v>6.8999999999999997E-4</v>
      </c>
      <c r="R17" s="27">
        <f>+Q17*E14</f>
        <v>0</v>
      </c>
      <c r="T17" s="2" t="s">
        <v>34</v>
      </c>
      <c r="U17" s="5">
        <v>4.2999999999999999E-4</v>
      </c>
      <c r="V17" s="27">
        <v>0.50166809999999995</v>
      </c>
      <c r="Y17" s="20"/>
      <c r="Z17" s="20"/>
      <c r="AA17" s="20"/>
      <c r="AB17" s="20"/>
      <c r="AC17" s="20"/>
      <c r="AD17" s="21"/>
      <c r="AE17" s="21"/>
      <c r="AF17" s="20"/>
    </row>
    <row r="18" spans="2:32" s="15" customFormat="1" ht="15.75">
      <c r="B18" s="23" t="s">
        <v>35</v>
      </c>
      <c r="C18" s="24">
        <v>25</v>
      </c>
      <c r="D18" s="18"/>
      <c r="E18" s="19"/>
      <c r="F18" s="20"/>
      <c r="G18" s="20"/>
      <c r="H18" s="20"/>
      <c r="I18" s="20"/>
      <c r="J18" s="21"/>
      <c r="K18" s="22" t="e">
        <f>+J18/#REF!</f>
        <v>#REF!</v>
      </c>
      <c r="L18" s="2" t="s">
        <v>36</v>
      </c>
      <c r="M18" s="28">
        <f>0.00328+0.0022</f>
        <v>5.4800000000000005E-3</v>
      </c>
      <c r="N18" s="27">
        <v>7.67</v>
      </c>
      <c r="O18" s="34">
        <f>+M18*E16</f>
        <v>0</v>
      </c>
      <c r="P18" s="2" t="s">
        <v>36</v>
      </c>
      <c r="Q18" s="28">
        <f>0.00196+0.0018</f>
        <v>3.7599999999999999E-3</v>
      </c>
      <c r="R18" s="27">
        <f>+Q18*E16</f>
        <v>0</v>
      </c>
      <c r="T18" s="2" t="s">
        <v>36</v>
      </c>
      <c r="U18" s="5">
        <f>0.00123+0.0007</f>
        <v>1.9299999999999999E-3</v>
      </c>
      <c r="V18" s="27">
        <f>+U18*E16</f>
        <v>0</v>
      </c>
      <c r="Y18" s="20"/>
      <c r="Z18" s="20"/>
      <c r="AA18" s="20"/>
      <c r="AB18" s="20"/>
      <c r="AC18" s="20"/>
      <c r="AD18" s="21"/>
      <c r="AE18" s="21"/>
      <c r="AF18" s="20"/>
    </row>
    <row r="19" spans="2:32" s="15" customFormat="1" ht="15.75">
      <c r="B19" s="29" t="s">
        <v>37</v>
      </c>
      <c r="C19" s="24">
        <v>25</v>
      </c>
      <c r="D19" s="18"/>
      <c r="E19" s="19"/>
      <c r="F19" s="20"/>
      <c r="G19" s="20"/>
      <c r="H19" s="20"/>
      <c r="I19" s="20"/>
      <c r="J19" s="21"/>
      <c r="K19" s="22" t="e">
        <f>+J19/#REF!</f>
        <v>#REF!</v>
      </c>
      <c r="L19" s="2" t="s">
        <v>38</v>
      </c>
      <c r="M19" s="5">
        <v>7.3800000000000003E-3</v>
      </c>
      <c r="N19" s="27">
        <v>19.778400000000001</v>
      </c>
      <c r="O19" s="15">
        <f>+O18/61</f>
        <v>0</v>
      </c>
      <c r="P19" s="2" t="s">
        <v>38</v>
      </c>
      <c r="Q19" s="5">
        <v>4.4554455445544559E-3</v>
      </c>
      <c r="R19" s="27">
        <f>+Q19*E17</f>
        <v>0</v>
      </c>
      <c r="T19" s="2" t="s">
        <v>38</v>
      </c>
      <c r="U19" s="5">
        <v>2.7799999999999999E-3</v>
      </c>
      <c r="V19" s="27">
        <v>7.4504000000000001</v>
      </c>
      <c r="Y19" s="20"/>
      <c r="Z19" s="20"/>
      <c r="AA19" s="20"/>
      <c r="AB19" s="20"/>
      <c r="AC19" s="20"/>
      <c r="AD19" s="21"/>
      <c r="AE19" s="21"/>
      <c r="AF19" s="20"/>
    </row>
    <row r="20" spans="2:32" s="15" customFormat="1" ht="15.75">
      <c r="B20" s="23" t="s">
        <v>39</v>
      </c>
      <c r="C20" s="24"/>
      <c r="D20" s="18"/>
      <c r="E20" s="19"/>
      <c r="F20" s="20"/>
      <c r="G20" s="20"/>
      <c r="H20" s="20"/>
      <c r="I20" s="20"/>
      <c r="J20" s="21"/>
      <c r="K20" s="22" t="e">
        <f>+J20/#REF!</f>
        <v>#REF!</v>
      </c>
      <c r="L20" s="2" t="s">
        <v>40</v>
      </c>
      <c r="M20" s="5">
        <v>4.1000000000000003E-3</v>
      </c>
      <c r="N20" s="27">
        <v>5.74</v>
      </c>
      <c r="P20" s="2" t="s">
        <v>40</v>
      </c>
      <c r="Q20" s="5">
        <v>2.4752475247524753E-3</v>
      </c>
      <c r="R20" s="27">
        <f>+Q20*E18</f>
        <v>0</v>
      </c>
      <c r="T20" s="2" t="s">
        <v>40</v>
      </c>
      <c r="U20" s="5">
        <v>1.5399999999999999E-3</v>
      </c>
      <c r="V20" s="27">
        <v>2.1560000000000001</v>
      </c>
      <c r="Y20" s="20"/>
      <c r="Z20" s="20"/>
      <c r="AA20" s="20"/>
      <c r="AB20" s="20"/>
      <c r="AC20" s="20"/>
      <c r="AD20" s="21"/>
      <c r="AE20" s="21"/>
      <c r="AF20" s="20"/>
    </row>
    <row r="21" spans="2:32" s="15" customFormat="1" ht="15.75">
      <c r="B21" s="23" t="s">
        <v>41</v>
      </c>
      <c r="C21" s="24"/>
      <c r="D21" s="18"/>
      <c r="E21" s="19"/>
      <c r="F21" s="20"/>
      <c r="G21" s="20"/>
      <c r="H21" s="20"/>
      <c r="I21" s="20"/>
      <c r="J21" s="21"/>
      <c r="K21" s="35">
        <v>1</v>
      </c>
      <c r="L21" s="2" t="s">
        <v>42</v>
      </c>
      <c r="M21" s="5">
        <v>6.6E-4</v>
      </c>
      <c r="N21" s="27">
        <v>4.2965999999999998</v>
      </c>
      <c r="P21" s="2" t="s">
        <v>42</v>
      </c>
      <c r="Q21" s="5">
        <v>3.9603960396039607E-4</v>
      </c>
      <c r="R21" s="27">
        <v>2.5388999999999999</v>
      </c>
      <c r="T21" s="2" t="s">
        <v>42</v>
      </c>
      <c r="U21" s="5">
        <v>2.5000000000000001E-4</v>
      </c>
      <c r="V21" s="27">
        <v>1.6274999999999999</v>
      </c>
      <c r="Y21" s="20"/>
      <c r="Z21" s="20"/>
      <c r="AA21" s="20"/>
      <c r="AB21" s="20"/>
      <c r="AC21" s="20"/>
      <c r="AD21" s="21"/>
      <c r="AE21" s="21"/>
      <c r="AF21" s="20"/>
    </row>
    <row r="22" spans="2:32" s="15" customFormat="1" ht="15.75">
      <c r="B22" s="36" t="s">
        <v>43</v>
      </c>
      <c r="C22" s="24"/>
      <c r="D22" s="18"/>
      <c r="E22" s="19"/>
      <c r="F22" s="20"/>
      <c r="G22" s="20"/>
      <c r="H22" s="20"/>
      <c r="I22" s="20"/>
      <c r="J22" s="21"/>
      <c r="K22" s="35"/>
      <c r="L22" s="2"/>
      <c r="M22" s="5"/>
      <c r="N22" s="27"/>
      <c r="P22" s="2"/>
      <c r="Q22" s="5"/>
      <c r="R22" s="27"/>
      <c r="T22" s="2"/>
      <c r="U22" s="5"/>
      <c r="V22" s="27"/>
      <c r="Y22" s="20"/>
      <c r="Z22" s="20"/>
      <c r="AA22" s="20"/>
      <c r="AB22" s="20"/>
      <c r="AC22" s="20"/>
      <c r="AD22" s="21"/>
      <c r="AE22" s="21"/>
      <c r="AF22" s="20"/>
    </row>
    <row r="23" spans="2:32" s="15" customFormat="1" ht="15.75">
      <c r="B23" s="36" t="s">
        <v>44</v>
      </c>
      <c r="C23" s="24"/>
      <c r="D23" s="18"/>
      <c r="E23" s="19"/>
      <c r="F23" s="20"/>
      <c r="G23" s="20"/>
      <c r="H23" s="20"/>
      <c r="I23" s="20"/>
      <c r="J23" s="21"/>
      <c r="K23" s="35"/>
      <c r="L23" s="2"/>
      <c r="M23" s="5"/>
      <c r="N23" s="27"/>
      <c r="P23" s="2"/>
      <c r="Q23" s="5"/>
      <c r="R23" s="27"/>
      <c r="T23" s="2"/>
      <c r="U23" s="5"/>
      <c r="V23" s="27"/>
      <c r="Y23" s="20"/>
      <c r="Z23" s="20"/>
      <c r="AA23" s="20"/>
      <c r="AB23" s="20"/>
      <c r="AC23" s="20"/>
      <c r="AD23" s="21"/>
      <c r="AE23" s="21"/>
      <c r="AF23" s="20"/>
    </row>
    <row r="24" spans="2:32" s="15" customFormat="1" ht="15.75">
      <c r="B24" s="36" t="s">
        <v>45</v>
      </c>
      <c r="C24" s="24"/>
      <c r="D24" s="18"/>
      <c r="E24" s="19"/>
      <c r="F24" s="20"/>
      <c r="G24" s="20"/>
      <c r="H24" s="20"/>
      <c r="I24" s="20"/>
      <c r="J24" s="21"/>
      <c r="K24" s="35"/>
      <c r="L24" s="2"/>
      <c r="M24" s="5"/>
      <c r="N24" s="27"/>
      <c r="P24" s="2"/>
      <c r="Q24" s="5"/>
      <c r="R24" s="27"/>
      <c r="T24" s="2"/>
      <c r="U24" s="5"/>
      <c r="V24" s="27"/>
      <c r="Y24" s="20"/>
      <c r="Z24" s="20"/>
      <c r="AA24" s="20"/>
      <c r="AB24" s="20"/>
      <c r="AC24" s="20"/>
      <c r="AD24" s="21"/>
      <c r="AE24" s="21"/>
      <c r="AF24" s="20"/>
    </row>
    <row r="25" spans="2:32" s="15" customFormat="1" ht="15.75">
      <c r="B25" s="36"/>
      <c r="C25" s="24"/>
      <c r="D25" s="18"/>
      <c r="E25" s="19"/>
      <c r="F25" s="20"/>
      <c r="G25" s="20"/>
      <c r="H25" s="20"/>
      <c r="I25" s="20"/>
      <c r="J25" s="21"/>
      <c r="K25" s="35"/>
      <c r="L25" s="2"/>
      <c r="M25" s="5"/>
      <c r="N25" s="27"/>
      <c r="P25" s="2"/>
      <c r="Q25" s="5"/>
      <c r="R25" s="27"/>
      <c r="T25" s="2"/>
      <c r="U25" s="5"/>
      <c r="V25" s="27"/>
      <c r="Y25" s="20"/>
      <c r="Z25" s="20"/>
      <c r="AA25" s="20"/>
      <c r="AB25" s="20"/>
      <c r="AC25" s="20"/>
      <c r="AD25" s="21"/>
      <c r="AE25" s="21"/>
      <c r="AF25" s="20"/>
    </row>
    <row r="26" spans="2:32" s="38" customFormat="1" ht="15.75">
      <c r="B26" s="37"/>
      <c r="C26" s="24"/>
      <c r="D26" s="18"/>
      <c r="E26" s="19"/>
      <c r="F26" s="20"/>
      <c r="G26" s="20"/>
      <c r="H26" s="20"/>
      <c r="I26" s="20"/>
      <c r="J26" s="21"/>
      <c r="K26" s="35"/>
      <c r="L26" s="2" t="s">
        <v>46</v>
      </c>
      <c r="M26" s="5">
        <v>1.6000000000000001E-4</v>
      </c>
      <c r="N26" s="27">
        <v>1.1328</v>
      </c>
      <c r="P26" s="2" t="s">
        <v>46</v>
      </c>
      <c r="Q26" s="5">
        <v>1E-4</v>
      </c>
      <c r="R26" s="27">
        <v>0.70799999999999996</v>
      </c>
      <c r="T26" s="2" t="s">
        <v>46</v>
      </c>
      <c r="U26" s="5">
        <v>6.0000000000000002E-5</v>
      </c>
      <c r="V26" s="27">
        <v>0.42480000000000001</v>
      </c>
      <c r="Y26" s="20"/>
      <c r="Z26" s="20"/>
      <c r="AA26" s="20"/>
      <c r="AB26" s="20"/>
      <c r="AC26" s="20"/>
      <c r="AD26" s="21"/>
      <c r="AE26" s="21"/>
      <c r="AF26" s="20"/>
    </row>
    <row r="27" spans="2:32" s="15" customFormat="1" ht="15.75">
      <c r="B27" s="36"/>
      <c r="C27" s="24"/>
      <c r="D27" s="39"/>
      <c r="E27" s="40"/>
      <c r="F27" s="41"/>
      <c r="G27" s="41"/>
      <c r="H27" s="41"/>
      <c r="I27" s="41"/>
      <c r="J27" s="42"/>
      <c r="K27" s="35"/>
      <c r="L27" s="2" t="s">
        <v>47</v>
      </c>
      <c r="M27" s="5">
        <v>1</v>
      </c>
      <c r="N27" s="27">
        <v>15</v>
      </c>
      <c r="P27" s="2" t="s">
        <v>48</v>
      </c>
      <c r="Q27" s="5">
        <v>1</v>
      </c>
      <c r="R27" s="27">
        <v>13</v>
      </c>
      <c r="T27" s="2" t="s">
        <v>49</v>
      </c>
      <c r="U27" s="5">
        <v>1</v>
      </c>
      <c r="V27" s="27">
        <v>9.8000000000000007</v>
      </c>
      <c r="Y27" s="41"/>
      <c r="Z27" s="41"/>
      <c r="AA27" s="41"/>
      <c r="AB27" s="41"/>
      <c r="AC27" s="41"/>
      <c r="AD27" s="42"/>
      <c r="AE27" s="42"/>
      <c r="AF27" s="41"/>
    </row>
    <row r="28" spans="2:32" s="15" customFormat="1" ht="15.75">
      <c r="B28" s="36"/>
      <c r="C28" s="24"/>
      <c r="D28" s="39"/>
      <c r="E28" s="40"/>
      <c r="F28" s="41"/>
      <c r="G28" s="41"/>
      <c r="H28" s="41"/>
      <c r="I28" s="41"/>
      <c r="J28" s="42"/>
      <c r="K28" s="35"/>
      <c r="L28" s="43" t="s">
        <v>50</v>
      </c>
      <c r="M28" s="44"/>
      <c r="N28" s="45">
        <f>SUBTOTAL(9, N10:N27)</f>
        <v>516.67382930000008</v>
      </c>
      <c r="P28" s="43" t="s">
        <v>51</v>
      </c>
      <c r="Q28" s="44"/>
      <c r="R28" s="45">
        <f>SUBTOTAL(9, R10:R27)</f>
        <v>16.2469</v>
      </c>
      <c r="T28" s="43" t="s">
        <v>52</v>
      </c>
      <c r="U28" s="44"/>
      <c r="V28" s="45">
        <f>SUBTOTAL(9, V10:V27)</f>
        <v>188.0092377</v>
      </c>
      <c r="Y28" s="41"/>
      <c r="Z28" s="41"/>
      <c r="AA28" s="41"/>
      <c r="AB28" s="41"/>
      <c r="AC28" s="41"/>
      <c r="AD28" s="42"/>
      <c r="AE28" s="42"/>
      <c r="AF28" s="41"/>
    </row>
    <row r="29" spans="2:32" s="15" customFormat="1" ht="16.5" thickBot="1">
      <c r="B29" s="36"/>
      <c r="C29" s="46"/>
      <c r="D29" s="47"/>
      <c r="E29" s="48"/>
      <c r="F29" s="49"/>
      <c r="G29" s="49"/>
      <c r="H29" s="49"/>
      <c r="I29" s="49"/>
      <c r="J29" s="50"/>
      <c r="K29" s="51"/>
      <c r="L29" s="52"/>
      <c r="M29" s="52"/>
      <c r="N29" s="52"/>
      <c r="P29" s="52"/>
      <c r="Q29" s="52"/>
      <c r="R29" s="52"/>
      <c r="T29" s="52"/>
      <c r="U29" s="52"/>
      <c r="V29" s="52"/>
      <c r="Y29" s="49"/>
      <c r="Z29" s="49"/>
      <c r="AA29" s="49"/>
      <c r="AB29" s="49"/>
      <c r="AC29" s="49"/>
      <c r="AD29" s="50"/>
      <c r="AE29" s="50"/>
      <c r="AF29" s="49"/>
    </row>
    <row r="30" spans="2:32" s="15" customFormat="1" ht="15.75">
      <c r="B30" s="36"/>
      <c r="C30" s="46"/>
      <c r="D30" s="47"/>
      <c r="E30" s="48"/>
      <c r="F30" s="49"/>
      <c r="G30" s="49"/>
      <c r="H30" s="49"/>
      <c r="I30" s="49"/>
      <c r="J30" s="50"/>
      <c r="K30" s="51"/>
      <c r="L30" s="53"/>
      <c r="M30" s="53"/>
      <c r="N30" s="53"/>
      <c r="P30" s="53"/>
      <c r="Q30" s="53"/>
      <c r="R30" s="53"/>
      <c r="T30" s="53"/>
      <c r="U30" s="53"/>
      <c r="V30" s="53"/>
      <c r="Y30" s="49"/>
      <c r="Z30" s="49"/>
      <c r="AA30" s="49"/>
      <c r="AB30" s="49"/>
      <c r="AC30" s="49"/>
      <c r="AD30" s="50"/>
      <c r="AE30" s="50"/>
      <c r="AF30" s="49"/>
    </row>
    <row r="31" spans="2:32" s="15" customFormat="1" ht="16.5" thickBot="1">
      <c r="B31" s="54"/>
      <c r="C31" s="55"/>
      <c r="D31" s="56"/>
      <c r="E31" s="57"/>
      <c r="F31" s="58"/>
      <c r="G31" s="58"/>
      <c r="H31" s="58"/>
      <c r="I31" s="58"/>
      <c r="J31" s="59"/>
      <c r="K31" s="51"/>
      <c r="L31" s="53"/>
      <c r="M31" s="53"/>
      <c r="N31" s="53"/>
      <c r="P31" s="53"/>
      <c r="Q31" s="53"/>
      <c r="R31" s="53"/>
      <c r="T31" s="53"/>
      <c r="U31" s="53"/>
      <c r="V31" s="53"/>
      <c r="Y31" s="58"/>
      <c r="Z31" s="58"/>
      <c r="AA31" s="58"/>
      <c r="AB31" s="58"/>
      <c r="AC31" s="58"/>
      <c r="AD31" s="59"/>
      <c r="AE31" s="59"/>
      <c r="AF31" s="58"/>
    </row>
    <row r="32" spans="2:32" customFormat="1" ht="16.5" thickTop="1">
      <c r="E32" s="1"/>
      <c r="F32" s="1"/>
      <c r="G32" s="1"/>
      <c r="H32" s="1"/>
      <c r="I32" s="1"/>
      <c r="J32" s="1"/>
      <c r="K32" s="60"/>
      <c r="L32" s="15"/>
      <c r="Y32" s="1"/>
      <c r="Z32" s="1"/>
      <c r="AA32" s="1"/>
      <c r="AB32" s="1"/>
      <c r="AC32" s="1"/>
      <c r="AD32" s="1"/>
      <c r="AE32" s="1"/>
      <c r="AF32" s="1"/>
    </row>
    <row r="33" spans="1:32" customFormat="1" ht="15.75">
      <c r="E33" s="1"/>
      <c r="F33" s="1"/>
      <c r="G33" s="1"/>
      <c r="H33" s="1"/>
      <c r="I33" s="1"/>
      <c r="J33" s="1"/>
      <c r="K33" s="60"/>
      <c r="L33" s="15"/>
      <c r="Y33" s="1"/>
      <c r="Z33" s="1"/>
      <c r="AA33" s="1"/>
      <c r="AB33" s="1"/>
      <c r="AC33" s="1"/>
      <c r="AD33" s="1"/>
      <c r="AE33" s="1"/>
      <c r="AF33" s="1"/>
    </row>
    <row r="34" spans="1:32">
      <c r="D34" s="1"/>
      <c r="E34" s="1"/>
      <c r="F34" s="1"/>
      <c r="G34" s="1"/>
      <c r="H34" s="1"/>
      <c r="I34" s="1"/>
      <c r="J34" s="1"/>
      <c r="Y34" s="1"/>
      <c r="Z34" s="1"/>
      <c r="AA34" s="1"/>
      <c r="AB34" s="1"/>
      <c r="AC34" s="1"/>
      <c r="AD34" s="1"/>
      <c r="AE34" s="1"/>
      <c r="AF34" s="1"/>
    </row>
    <row r="35" spans="1:32">
      <c r="D35" s="1"/>
      <c r="E35" s="1"/>
      <c r="F35" s="1"/>
      <c r="G35" s="1"/>
      <c r="H35" s="1"/>
      <c r="I35" s="1"/>
      <c r="J35" s="61"/>
      <c r="Y35" s="1"/>
      <c r="Z35" s="1"/>
      <c r="AA35" s="1"/>
      <c r="AB35" s="1"/>
      <c r="AC35" s="1"/>
      <c r="AD35" s="61"/>
      <c r="AE35" s="61"/>
      <c r="AF35" s="1"/>
    </row>
    <row r="36" spans="1:32">
      <c r="D36" s="1"/>
      <c r="E36" s="1"/>
      <c r="F36" s="1"/>
      <c r="G36" s="1"/>
      <c r="H36" s="1"/>
      <c r="I36" s="1"/>
      <c r="J36" s="1"/>
      <c r="Y36" s="1"/>
      <c r="Z36" s="1"/>
      <c r="AA36" s="1"/>
      <c r="AB36" s="1"/>
      <c r="AC36" s="1"/>
      <c r="AD36" s="1"/>
      <c r="AE36" s="1"/>
      <c r="AF36" s="1"/>
    </row>
    <row r="37" spans="1:32" ht="18">
      <c r="D37" s="1"/>
      <c r="E37" s="1"/>
      <c r="F37" s="1"/>
      <c r="G37" s="1"/>
      <c r="H37" s="1"/>
      <c r="I37" s="1"/>
      <c r="J37" s="1"/>
      <c r="L37" s="62"/>
      <c r="Y37" s="1"/>
      <c r="Z37" s="1"/>
      <c r="AA37" s="1"/>
      <c r="AB37" s="1"/>
      <c r="AC37" s="1"/>
      <c r="AD37" s="1"/>
      <c r="AE37" s="1"/>
      <c r="AF37" s="1"/>
    </row>
    <row r="38" spans="1:32" ht="18">
      <c r="C38" s="1"/>
      <c r="D38" s="63"/>
      <c r="E38" s="1"/>
      <c r="F38" s="1"/>
      <c r="G38" s="1"/>
      <c r="H38" s="1"/>
      <c r="I38" s="1"/>
      <c r="J38" s="1"/>
      <c r="K38" s="1"/>
      <c r="L38" s="62"/>
      <c r="Y38" s="1"/>
      <c r="Z38" s="1"/>
      <c r="AA38" s="1"/>
      <c r="AB38" s="1"/>
      <c r="AC38" s="1"/>
      <c r="AD38" s="1"/>
      <c r="AE38" s="1"/>
      <c r="AF38" s="1"/>
    </row>
    <row r="39" spans="1:32" ht="18">
      <c r="C39" s="1"/>
      <c r="D39" s="63"/>
      <c r="E39" s="64"/>
      <c r="F39" s="64"/>
      <c r="G39" s="64"/>
      <c r="H39" s="64"/>
      <c r="I39" s="64"/>
      <c r="J39" s="1"/>
      <c r="K39" s="1"/>
      <c r="L39" s="62"/>
      <c r="Y39" s="64"/>
      <c r="Z39" s="64"/>
      <c r="AA39" s="64"/>
      <c r="AB39" s="64"/>
      <c r="AC39" s="64"/>
      <c r="AD39" s="1"/>
      <c r="AE39" s="1"/>
      <c r="AF39" s="64"/>
    </row>
    <row r="40" spans="1:32" ht="18">
      <c r="C40" s="1"/>
      <c r="D40" s="63"/>
      <c r="E40" s="64"/>
      <c r="F40" s="64"/>
      <c r="G40" s="64"/>
      <c r="H40" s="64"/>
      <c r="I40" s="64"/>
      <c r="J40" s="1"/>
      <c r="K40" s="1"/>
      <c r="L40" s="62"/>
      <c r="Y40" s="64"/>
      <c r="Z40" s="64"/>
      <c r="AA40" s="64"/>
      <c r="AB40" s="64"/>
      <c r="AC40" s="64"/>
      <c r="AD40" s="1"/>
      <c r="AE40" s="1"/>
      <c r="AF40" s="64"/>
    </row>
    <row r="41" spans="1:32" ht="18">
      <c r="C41" s="1"/>
      <c r="D41" s="1"/>
      <c r="E41" s="1"/>
      <c r="F41" s="1"/>
      <c r="G41" s="1"/>
      <c r="H41" s="1"/>
      <c r="I41" s="1"/>
      <c r="J41" s="1"/>
      <c r="K41" s="1"/>
      <c r="L41" s="62"/>
      <c r="Y41" s="1"/>
      <c r="Z41" s="1"/>
      <c r="AA41" s="1"/>
      <c r="AB41" s="1"/>
      <c r="AC41" s="1"/>
      <c r="AD41" s="1"/>
      <c r="AE41" s="1"/>
      <c r="AF41" s="1"/>
    </row>
    <row r="42" spans="1:32">
      <c r="C42" s="1"/>
      <c r="D42" s="1"/>
      <c r="E42" s="1"/>
      <c r="F42" s="1"/>
      <c r="G42" s="1"/>
      <c r="H42" s="1"/>
      <c r="I42" s="1"/>
      <c r="J42" s="1"/>
      <c r="K42" s="1"/>
      <c r="Y42" s="1"/>
      <c r="Z42" s="1"/>
      <c r="AA42" s="1"/>
      <c r="AB42" s="1"/>
      <c r="AC42" s="1"/>
      <c r="AD42" s="1"/>
      <c r="AE42" s="1"/>
      <c r="AF42" s="1"/>
    </row>
    <row r="43" spans="1:32">
      <c r="C43" s="1"/>
      <c r="D43" s="1"/>
      <c r="E43" s="65"/>
      <c r="F43" s="66"/>
      <c r="G43" s="66"/>
      <c r="H43" s="66"/>
      <c r="I43" s="66"/>
      <c r="J43" s="1"/>
      <c r="K43" s="1"/>
      <c r="Y43" s="66"/>
      <c r="Z43" s="66"/>
      <c r="AA43" s="66"/>
      <c r="AB43" s="66"/>
      <c r="AC43" s="66"/>
      <c r="AD43" s="1"/>
      <c r="AE43" s="1"/>
      <c r="AF43" s="66"/>
    </row>
    <row r="44" spans="1:32">
      <c r="C44" s="1"/>
      <c r="D44" s="1"/>
      <c r="E44" s="67"/>
      <c r="F44" s="67"/>
      <c r="G44" s="67"/>
      <c r="H44" s="67"/>
      <c r="I44" s="67"/>
      <c r="J44" s="1"/>
      <c r="K44" s="1"/>
      <c r="Y44" s="67"/>
      <c r="Z44" s="67"/>
      <c r="AA44" s="67"/>
      <c r="AB44" s="67"/>
      <c r="AC44" s="67"/>
      <c r="AD44" s="1"/>
      <c r="AE44" s="1"/>
      <c r="AF44" s="67"/>
    </row>
    <row r="45" spans="1:32">
      <c r="C45" s="1"/>
      <c r="D45" s="1"/>
      <c r="E45" s="1"/>
      <c r="F45" s="1"/>
      <c r="G45" s="1"/>
      <c r="H45" s="1"/>
      <c r="I45" s="1"/>
      <c r="J45" s="1"/>
      <c r="K45" s="1"/>
      <c r="Y45" s="1"/>
      <c r="Z45" s="1"/>
      <c r="AA45" s="1"/>
      <c r="AB45" s="1"/>
      <c r="AC45" s="1"/>
      <c r="AD45" s="1"/>
      <c r="AE45" s="1"/>
      <c r="AF45" s="1"/>
    </row>
    <row r="46" spans="1:32">
      <c r="C46" s="1"/>
      <c r="D46" s="1"/>
      <c r="E46" s="1"/>
      <c r="F46" s="1"/>
      <c r="G46" s="1"/>
      <c r="H46" s="1"/>
      <c r="I46" s="1"/>
      <c r="J46" s="1"/>
      <c r="K46" s="1"/>
      <c r="Y46" s="1"/>
      <c r="Z46" s="1"/>
      <c r="AA46" s="1"/>
      <c r="AB46" s="1"/>
      <c r="AC46" s="1"/>
      <c r="AD46" s="1"/>
      <c r="AE46" s="1"/>
      <c r="AF46" s="1"/>
    </row>
    <row r="47" spans="1:32">
      <c r="C47" s="1"/>
      <c r="D47" s="1"/>
      <c r="E47" s="1"/>
      <c r="F47" s="1"/>
      <c r="G47" s="1"/>
      <c r="H47" s="1"/>
      <c r="I47" s="1"/>
      <c r="J47" s="1"/>
      <c r="K47" s="1"/>
      <c r="Y47" s="1"/>
      <c r="Z47" s="1"/>
      <c r="AA47" s="1"/>
      <c r="AB47" s="1"/>
      <c r="AC47" s="1"/>
      <c r="AD47" s="1"/>
      <c r="AE47" s="1"/>
      <c r="AF47" s="1"/>
    </row>
    <row r="48" spans="1:32" s="27" customForma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s="27" customForma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s="27" customForma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s="27" customForma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s="27" customForma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s="27" customForma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s="27" customForma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</sheetData>
  <mergeCells count="1">
    <mergeCell ref="B6:D6"/>
  </mergeCells>
  <pageMargins left="0.23622047244094491" right="0.15748031496062992" top="0.35433070866141736" bottom="0.74803149606299213" header="0.15748031496062992" footer="0.31496062992125984"/>
  <pageSetup paperSize="9" scale="9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</dc:creator>
  <cp:lastModifiedBy>FRANCIS</cp:lastModifiedBy>
  <cp:lastPrinted>2024-11-27T15:38:12Z</cp:lastPrinted>
  <dcterms:created xsi:type="dcterms:W3CDTF">2024-11-27T15:20:29Z</dcterms:created>
  <dcterms:modified xsi:type="dcterms:W3CDTF">2024-11-27T15:38:34Z</dcterms:modified>
</cp:coreProperties>
</file>