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GER\Desktop\"/>
    </mc:Choice>
  </mc:AlternateContent>
  <bookViews>
    <workbookView xWindow="0" yWindow="0" windowWidth="15360" windowHeight="7665" activeTab="2"/>
  </bookViews>
  <sheets>
    <sheet name="Sheet1" sheetId="1" r:id="rId1"/>
    <sheet name="Weekly-03" sheetId="2" r:id="rId2"/>
    <sheet name="wkly mrk-13-04" sheetId="3" r:id="rId3"/>
  </sheets>
  <definedNames>
    <definedName name="_xlnm.Print_Area" localSheetId="1">'Weekly-03'!$A$76:$G$120</definedName>
    <definedName name="_xlnm.Print_Area" localSheetId="2">'wkly mrk-13-04'!$A$1:$G$38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D120" i="2"/>
  <c r="D115" i="2"/>
  <c r="D6" i="2" l="1"/>
  <c r="D8" i="2"/>
  <c r="D17" i="2"/>
  <c r="D18" i="2"/>
  <c r="D19" i="2"/>
  <c r="D40" i="2"/>
  <c r="D71" i="2"/>
  <c r="D46" i="1" l="1"/>
</calcChain>
</file>

<file path=xl/sharedStrings.xml><?xml version="1.0" encoding="utf-8"?>
<sst xmlns="http://schemas.openxmlformats.org/spreadsheetml/2006/main" count="251" uniqueCount="146">
  <si>
    <t>ITEMS</t>
  </si>
  <si>
    <t>QTY</t>
  </si>
  <si>
    <t>ACTUAL PD</t>
  </si>
  <si>
    <t>ACTUAL QTY</t>
  </si>
  <si>
    <t>BALANCE</t>
  </si>
  <si>
    <t>GARRI</t>
  </si>
  <si>
    <t>UGU</t>
  </si>
  <si>
    <t>GRINDED MELON</t>
  </si>
  <si>
    <t>PLANTAIN</t>
  </si>
  <si>
    <t>DRY PEPER</t>
  </si>
  <si>
    <t>GARLIC</t>
  </si>
  <si>
    <t>GINGER</t>
  </si>
  <si>
    <t>STARCH</t>
  </si>
  <si>
    <t>OKORO</t>
  </si>
  <si>
    <t>SHOMBOR</t>
  </si>
  <si>
    <t>ONIONS</t>
  </si>
  <si>
    <t>YAM</t>
  </si>
  <si>
    <t>STOCKFISH</t>
  </si>
  <si>
    <t>TOMATOES</t>
  </si>
  <si>
    <t>FRESH PEPER</t>
  </si>
  <si>
    <t>PLASTIC TOOTHPICK</t>
  </si>
  <si>
    <t>PURE WATER NYLON</t>
  </si>
  <si>
    <t>SEED MELON</t>
  </si>
  <si>
    <t>WATER LEAF</t>
  </si>
  <si>
    <t xml:space="preserve">RICE RUBER </t>
  </si>
  <si>
    <t>STORE ITEMS</t>
  </si>
  <si>
    <t>TIN TOMATOES</t>
  </si>
  <si>
    <t>1 CTN</t>
  </si>
  <si>
    <t>SWEET CORN</t>
  </si>
  <si>
    <t>SPAGHETTI</t>
  </si>
  <si>
    <t>RED KIDNEY BEANS</t>
  </si>
  <si>
    <t>CHICKEN KNOW</t>
  </si>
  <si>
    <t>GOLDEN BELLA</t>
  </si>
  <si>
    <t>2 BAGS</t>
  </si>
  <si>
    <t>LASOR FISH SPICE</t>
  </si>
  <si>
    <t>OUTSIDE BROOM</t>
  </si>
  <si>
    <t>2 PIECES</t>
  </si>
  <si>
    <t>BUTTER BEANS</t>
  </si>
  <si>
    <t>UGU/VEGETABLE SOUP</t>
  </si>
  <si>
    <t>1 BAG</t>
  </si>
  <si>
    <t>AIR FRESHNER</t>
  </si>
  <si>
    <t>12 PIECES</t>
  </si>
  <si>
    <t>HARPIC</t>
  </si>
  <si>
    <t>HYPO</t>
  </si>
  <si>
    <t>TAKE AWAY PACK</t>
  </si>
  <si>
    <t>SNACKS NYLON</t>
  </si>
  <si>
    <t>SALVET PAPER</t>
  </si>
  <si>
    <t>TOTAL</t>
  </si>
  <si>
    <t>DETERGENT</t>
  </si>
  <si>
    <t>TRANSPORT</t>
  </si>
  <si>
    <t>BUTER BEANS</t>
  </si>
  <si>
    <t>PEPER SOUP SPICES</t>
  </si>
  <si>
    <t>OKRO</t>
  </si>
  <si>
    <t>FRESH TOMATOES</t>
  </si>
  <si>
    <t>STOCK FISH</t>
  </si>
  <si>
    <t>GREEN BEANS</t>
  </si>
  <si>
    <t>KING COOKING BUTTER</t>
  </si>
  <si>
    <t>THANK YOU NYLON</t>
  </si>
  <si>
    <t>10 ROLL</t>
  </si>
  <si>
    <t>CURRY 1 ROLL</t>
  </si>
  <si>
    <t>1 ROLL</t>
  </si>
  <si>
    <t>2 ROLL</t>
  </si>
  <si>
    <t>DETERGENT SOAP</t>
  </si>
  <si>
    <t>CUCUMBER</t>
  </si>
  <si>
    <t>CHCOLATE TOPING SAUCE</t>
  </si>
  <si>
    <t>K-LOUNG PASTRY AND KITCHEN WEEKLY BUDGET FOR KITCHEN. 03/03 TO 09/03.</t>
  </si>
  <si>
    <t>IRON SPONGE</t>
  </si>
  <si>
    <t>K-LOUNG PASTRY AND KITCHEN WEEKLY BUDGET FOR KITCHEN. 23/03 TO 29/03/24.</t>
  </si>
  <si>
    <t>AMOUNT</t>
  </si>
  <si>
    <t>ACTUAL SPENT</t>
  </si>
  <si>
    <t>QUANTITY</t>
  </si>
  <si>
    <t>STAR MAGI CHICKEN POW</t>
  </si>
  <si>
    <t>SHALLOTS FOR FRIED RICE</t>
  </si>
  <si>
    <t xml:space="preserve">PLANTAIN </t>
  </si>
  <si>
    <t>50 KG GARRI</t>
  </si>
  <si>
    <t xml:space="preserve">UGU </t>
  </si>
  <si>
    <t>FRESH GARLIC</t>
  </si>
  <si>
    <t>FRESH GINGER</t>
  </si>
  <si>
    <t>GRINDED PEPER</t>
  </si>
  <si>
    <t>HAND GLOVES</t>
  </si>
  <si>
    <t>GROUNDNUT OIL</t>
  </si>
  <si>
    <t>5 GALLONS</t>
  </si>
  <si>
    <t>CORN BEEF</t>
  </si>
  <si>
    <t>2 BOTTLES</t>
  </si>
  <si>
    <t xml:space="preserve">BREAD NYLON </t>
  </si>
  <si>
    <t>5 PACKS</t>
  </si>
  <si>
    <t>2 ROLLS</t>
  </si>
  <si>
    <t>2 CTN</t>
  </si>
  <si>
    <t>K-LOUNG PASTRY AND KITCHEN WEEKLY BUDGET FOR KITCHEN. 06/04 TO 12/04/24.</t>
  </si>
  <si>
    <t xml:space="preserve">RED OIL </t>
  </si>
  <si>
    <t>VEGETABLE OIL</t>
  </si>
  <si>
    <t>2 GALLONS</t>
  </si>
  <si>
    <t>1 GALLON</t>
  </si>
  <si>
    <t xml:space="preserve">SPAGHEETI </t>
  </si>
  <si>
    <t>2 CTNS</t>
  </si>
  <si>
    <t>SESAME OIL</t>
  </si>
  <si>
    <t>5 BOTTLES</t>
  </si>
  <si>
    <t xml:space="preserve">UGU LEAF </t>
  </si>
  <si>
    <t>2 RUBBERS</t>
  </si>
  <si>
    <t>BASMATIC RICE</t>
  </si>
  <si>
    <t xml:space="preserve">2 PACK </t>
  </si>
  <si>
    <t>LIQUID AIR FRESHNER</t>
  </si>
  <si>
    <t>EBA CELLOPHNE</t>
  </si>
  <si>
    <t xml:space="preserve">FOIL PAPER </t>
  </si>
  <si>
    <t>1 PACK</t>
  </si>
  <si>
    <t>TIN CONDENSE MILK</t>
  </si>
  <si>
    <t>KINGS COOKING BUTER</t>
  </si>
  <si>
    <t>BREAD CARRIER BAG</t>
  </si>
  <si>
    <t>4 PACKS</t>
  </si>
  <si>
    <t>HONEY</t>
  </si>
  <si>
    <t>RUBBER BIND</t>
  </si>
  <si>
    <t>1 PICS</t>
  </si>
  <si>
    <t>SOFT SPONGE FOR PLATES</t>
  </si>
  <si>
    <t>DEEP SPOON FOR PLANTAIN</t>
  </si>
  <si>
    <t>LESS REFUND FROM LAST WEEK MARKET</t>
  </si>
  <si>
    <t xml:space="preserve">GRAND </t>
  </si>
  <si>
    <t>2 PACKs</t>
  </si>
  <si>
    <t>fresh peper</t>
  </si>
  <si>
    <t>BALE PEPER</t>
  </si>
  <si>
    <t>TRANSPORT TO MARKET</t>
  </si>
  <si>
    <t xml:space="preserve">K-LOUNG &amp; PASTRY </t>
  </si>
  <si>
    <t xml:space="preserve"> KITCHEN WEEKLY BUDGET FOR KITCHEN. 13/04 TO 19/04</t>
  </si>
  <si>
    <t>2 GALLON</t>
  </si>
  <si>
    <t xml:space="preserve">THREE CROWN MILK </t>
  </si>
  <si>
    <t xml:space="preserve">SESAME OIL </t>
  </si>
  <si>
    <t>4 BTLE</t>
  </si>
  <si>
    <t>PLANTIAN</t>
  </si>
  <si>
    <t>GROUNDED PEPPER</t>
  </si>
  <si>
    <t xml:space="preserve">OKRA </t>
  </si>
  <si>
    <t>HALF BAG</t>
  </si>
  <si>
    <t>2 RUBBER</t>
  </si>
  <si>
    <t>1 RUBBER</t>
  </si>
  <si>
    <t>GROUNDED MELON</t>
  </si>
  <si>
    <t>BELL PEPPER</t>
  </si>
  <si>
    <t>RED OIL</t>
  </si>
  <si>
    <t>25 LITR</t>
  </si>
  <si>
    <t>FRESH PEPPER</t>
  </si>
  <si>
    <t>EBA CELLOPHANE</t>
  </si>
  <si>
    <t>BREAD NYLON</t>
  </si>
  <si>
    <t>5PACK</t>
  </si>
  <si>
    <t>4 PACK</t>
  </si>
  <si>
    <t xml:space="preserve">HONEY </t>
  </si>
  <si>
    <t>2 BTLE</t>
  </si>
  <si>
    <t>UGU LEAF</t>
  </si>
  <si>
    <t>CONDENSED MILK</t>
  </si>
  <si>
    <t>PLASTIC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</si>
</sst>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4" xfId="0" applyBorder="1"/>
    <xf numFmtId="0" fontId="1" fillId="0" borderId="2" xfId="0" applyFont="1" applyBorder="1"/>
    <xf numFmtId="0" fontId="1" fillId="0" borderId="5" xfId="0" applyFont="1" applyBorder="1"/>
    <xf numFmtId="0" fontId="0" fillId="0" borderId="3" xfId="0" applyFont="1" applyBorder="1"/>
    <xf numFmtId="3" fontId="0" fillId="0" borderId="3" xfId="0" applyNumberFormat="1" applyFont="1" applyBorder="1"/>
    <xf numFmtId="16" fontId="0" fillId="0" borderId="3" xfId="0" applyNumberFormat="1" applyFont="1" applyBorder="1"/>
    <xf numFmtId="0" fontId="0" fillId="0" borderId="1" xfId="0" applyFont="1" applyBorder="1"/>
    <xf numFmtId="0" fontId="2" fillId="0" borderId="4" xfId="0" applyFont="1" applyBorder="1"/>
    <xf numFmtId="0" fontId="3" fillId="0" borderId="4" xfId="0" applyFont="1" applyBorder="1"/>
    <xf numFmtId="0" fontId="0" fillId="0" borderId="2" xfId="0" applyFont="1" applyBorder="1"/>
    <xf numFmtId="0" fontId="3" fillId="0" borderId="3" xfId="0" applyFont="1" applyBorder="1"/>
    <xf numFmtId="3" fontId="4" fillId="0" borderId="4" xfId="0" applyNumberFormat="1" applyFont="1" applyBorder="1"/>
    <xf numFmtId="0" fontId="6" fillId="0" borderId="6" xfId="0" applyFont="1" applyBorder="1"/>
    <xf numFmtId="0" fontId="0" fillId="0" borderId="6" xfId="0" applyBorder="1"/>
    <xf numFmtId="0" fontId="1" fillId="0" borderId="6" xfId="0" applyFont="1" applyBorder="1"/>
    <xf numFmtId="0" fontId="0" fillId="0" borderId="6" xfId="0" applyFont="1" applyBorder="1"/>
    <xf numFmtId="0" fontId="5" fillId="0" borderId="6" xfId="0" applyFont="1" applyBorder="1"/>
    <xf numFmtId="3" fontId="5" fillId="0" borderId="6" xfId="0" applyNumberFormat="1" applyFont="1" applyBorder="1" applyAlignment="1">
      <alignment horizontal="left"/>
    </xf>
    <xf numFmtId="0" fontId="5" fillId="0" borderId="6" xfId="0" applyFont="1" applyFill="1" applyBorder="1"/>
    <xf numFmtId="16" fontId="5" fillId="0" borderId="6" xfId="0" applyNumberFormat="1" applyFont="1" applyBorder="1"/>
    <xf numFmtId="0" fontId="5" fillId="0" borderId="6" xfId="0" applyFont="1" applyBorder="1" applyAlignment="1">
      <alignment horizontal="left"/>
    </xf>
    <xf numFmtId="3" fontId="5" fillId="0" borderId="6" xfId="0" applyNumberFormat="1" applyFont="1" applyBorder="1"/>
    <xf numFmtId="0" fontId="7" fillId="0" borderId="6" xfId="0" applyFont="1" applyBorder="1"/>
    <xf numFmtId="0" fontId="2" fillId="0" borderId="6" xfId="0" applyFont="1" applyBorder="1"/>
    <xf numFmtId="0" fontId="3" fillId="0" borderId="6" xfId="0" applyFont="1" applyBorder="1"/>
    <xf numFmtId="3" fontId="4" fillId="0" borderId="6" xfId="0" applyNumberFormat="1" applyFont="1" applyBorder="1" applyAlignment="1">
      <alignment horizontal="left"/>
    </xf>
    <xf numFmtId="0" fontId="6" fillId="0" borderId="7" xfId="0" applyFont="1" applyBorder="1"/>
    <xf numFmtId="0" fontId="6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9" xfId="0" applyFont="1" applyBorder="1"/>
    <xf numFmtId="0" fontId="5" fillId="0" borderId="9" xfId="0" applyFont="1" applyBorder="1"/>
    <xf numFmtId="0" fontId="7" fillId="0" borderId="9" xfId="0" applyFont="1" applyBorder="1"/>
    <xf numFmtId="0" fontId="2" fillId="0" borderId="9" xfId="0" applyFont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9" xfId="0" applyFont="1" applyBorder="1"/>
    <xf numFmtId="0" fontId="9" fillId="0" borderId="6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0" borderId="6" xfId="0" applyFont="1" applyBorder="1"/>
    <xf numFmtId="3" fontId="10" fillId="0" borderId="6" xfId="0" applyNumberFormat="1" applyFont="1" applyBorder="1" applyAlignment="1">
      <alignment horizontal="left"/>
    </xf>
    <xf numFmtId="0" fontId="7" fillId="0" borderId="9" xfId="0" applyFont="1" applyFill="1" applyBorder="1"/>
    <xf numFmtId="0" fontId="3" fillId="0" borderId="6" xfId="0" applyFont="1" applyBorder="1" applyAlignment="1">
      <alignment horizontal="right"/>
    </xf>
    <xf numFmtId="3" fontId="3" fillId="0" borderId="6" xfId="0" applyNumberFormat="1" applyFont="1" applyBorder="1" applyAlignment="1">
      <alignment horizontal="left"/>
    </xf>
    <xf numFmtId="0" fontId="7" fillId="0" borderId="6" xfId="0" applyFont="1" applyBorder="1" applyAlignment="1">
      <alignment horizontal="right"/>
    </xf>
    <xf numFmtId="3" fontId="7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0" xfId="0" applyFont="1" applyBorder="1"/>
    <xf numFmtId="3" fontId="4" fillId="0" borderId="20" xfId="0" applyNumberFormat="1" applyFont="1" applyBorder="1" applyAlignment="1">
      <alignment horizontal="left"/>
    </xf>
    <xf numFmtId="0" fontId="0" fillId="0" borderId="20" xfId="0" applyBorder="1"/>
    <xf numFmtId="0" fontId="7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3" fontId="8" fillId="0" borderId="6" xfId="0" applyNumberFormat="1" applyFont="1" applyBorder="1" applyAlignment="1">
      <alignment horizontal="left"/>
    </xf>
    <xf numFmtId="16" fontId="7" fillId="0" borderId="6" xfId="0" applyNumberFormat="1" applyFont="1" applyBorder="1"/>
    <xf numFmtId="0" fontId="3" fillId="0" borderId="9" xfId="0" applyFont="1" applyBorder="1"/>
    <xf numFmtId="0" fontId="3" fillId="0" borderId="19" xfId="0" applyFont="1" applyBorder="1" applyAlignment="1">
      <alignment horizontal="right"/>
    </xf>
    <xf numFmtId="0" fontId="9" fillId="0" borderId="7" xfId="0" applyFont="1" applyBorder="1"/>
    <xf numFmtId="0" fontId="9" fillId="0" borderId="8" xfId="0" applyFont="1" applyBorder="1"/>
    <xf numFmtId="0" fontId="5" fillId="0" borderId="8" xfId="0" applyFont="1" applyBorder="1"/>
    <xf numFmtId="0" fontId="2" fillId="0" borderId="20" xfId="0" applyFont="1" applyBorder="1"/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3" fontId="5" fillId="0" borderId="6" xfId="0" applyNumberFormat="1" applyFont="1" applyBorder="1" applyAlignment="1">
      <alignment horizontal="center"/>
    </xf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8" fillId="0" borderId="20" xfId="0" applyFont="1" applyBorder="1"/>
    <xf numFmtId="3" fontId="4" fillId="0" borderId="20" xfId="0" applyNumberFormat="1" applyFont="1" applyBorder="1" applyAlignment="1">
      <alignment horizontal="center"/>
    </xf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6"/>
  <sheetViews>
    <sheetView topLeftCell="A8" workbookViewId="0">
      <selection activeCell="I24" sqref="I24"/>
    </sheetView>
  </sheetViews>
  <sheetFormatPr defaultRowHeight="15" x14ac:dyDescent="0.25"/>
  <cols>
    <col min="1" max="1" width="5.7109375" customWidth="1"/>
    <col min="2" max="2" width="25.85546875" customWidth="1"/>
    <col min="3" max="3" width="10.7109375" customWidth="1"/>
    <col min="4" max="4" width="13.7109375" customWidth="1"/>
    <col min="5" max="5" width="13.5703125" customWidth="1"/>
  </cols>
  <sheetData>
    <row r="1" spans="2:6" ht="15.75" thickBot="1" x14ac:dyDescent="0.3"/>
    <row r="2" spans="2:6" ht="16.5" thickBot="1" x14ac:dyDescent="0.3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x14ac:dyDescent="0.25">
      <c r="B3" s="4"/>
      <c r="C3" s="4"/>
      <c r="D3" s="4"/>
      <c r="E3" s="4"/>
      <c r="F3" s="10"/>
    </row>
    <row r="4" spans="2:6" x14ac:dyDescent="0.25">
      <c r="B4" s="4" t="s">
        <v>5</v>
      </c>
      <c r="C4" s="4" t="s">
        <v>39</v>
      </c>
      <c r="D4" s="5">
        <v>13500</v>
      </c>
      <c r="E4" s="4"/>
      <c r="F4" s="4"/>
    </row>
    <row r="5" spans="2:6" x14ac:dyDescent="0.25">
      <c r="B5" s="4" t="s">
        <v>6</v>
      </c>
      <c r="C5" s="4"/>
      <c r="D5" s="5">
        <v>6500</v>
      </c>
      <c r="E5" s="4"/>
      <c r="F5" s="4"/>
    </row>
    <row r="6" spans="2:6" x14ac:dyDescent="0.25">
      <c r="B6" s="4" t="s">
        <v>7</v>
      </c>
      <c r="C6" s="4"/>
      <c r="D6" s="5">
        <v>9000</v>
      </c>
      <c r="E6" s="4"/>
      <c r="F6" s="4"/>
    </row>
    <row r="7" spans="2:6" x14ac:dyDescent="0.25">
      <c r="B7" s="4" t="s">
        <v>8</v>
      </c>
      <c r="C7" s="4"/>
      <c r="D7" s="5">
        <v>15000</v>
      </c>
      <c r="E7" s="4"/>
      <c r="F7" s="4"/>
    </row>
    <row r="8" spans="2:6" x14ac:dyDescent="0.25">
      <c r="B8" s="4" t="s">
        <v>9</v>
      </c>
      <c r="C8" s="4"/>
      <c r="D8" s="5">
        <v>5000</v>
      </c>
      <c r="E8" s="4"/>
      <c r="F8" s="4"/>
    </row>
    <row r="9" spans="2:6" x14ac:dyDescent="0.25">
      <c r="B9" s="4" t="s">
        <v>10</v>
      </c>
      <c r="C9" s="4"/>
      <c r="D9" s="5">
        <v>5000</v>
      </c>
      <c r="E9" s="4"/>
      <c r="F9" s="4"/>
    </row>
    <row r="10" spans="2:6" x14ac:dyDescent="0.25">
      <c r="B10" s="4" t="s">
        <v>11</v>
      </c>
      <c r="C10" s="4"/>
      <c r="D10" s="5">
        <v>5000</v>
      </c>
      <c r="E10" s="4"/>
      <c r="F10" s="4"/>
    </row>
    <row r="11" spans="2:6" x14ac:dyDescent="0.25">
      <c r="B11" s="4" t="s">
        <v>12</v>
      </c>
      <c r="C11" s="4"/>
      <c r="D11" s="5">
        <v>7000</v>
      </c>
      <c r="E11" s="4"/>
      <c r="F11" s="4"/>
    </row>
    <row r="12" spans="2:6" x14ac:dyDescent="0.25">
      <c r="B12" s="4" t="s">
        <v>13</v>
      </c>
      <c r="C12" s="4"/>
      <c r="D12" s="5">
        <v>7000</v>
      </c>
      <c r="E12" s="4"/>
      <c r="F12" s="4"/>
    </row>
    <row r="13" spans="2:6" x14ac:dyDescent="0.25">
      <c r="B13" s="4" t="s">
        <v>14</v>
      </c>
      <c r="C13" s="4"/>
      <c r="D13" s="5">
        <v>28000</v>
      </c>
      <c r="E13" s="4"/>
      <c r="F13" s="4"/>
    </row>
    <row r="14" spans="2:6" x14ac:dyDescent="0.25">
      <c r="B14" s="4" t="s">
        <v>15</v>
      </c>
      <c r="C14" s="4"/>
      <c r="D14" s="5">
        <v>10000</v>
      </c>
      <c r="E14" s="4"/>
      <c r="F14" s="4"/>
    </row>
    <row r="15" spans="2:6" x14ac:dyDescent="0.25">
      <c r="B15" s="4" t="s">
        <v>16</v>
      </c>
      <c r="C15" s="4"/>
      <c r="D15" s="5">
        <v>8000</v>
      </c>
      <c r="E15" s="4"/>
      <c r="F15" s="4"/>
    </row>
    <row r="16" spans="2:6" x14ac:dyDescent="0.25">
      <c r="B16" s="4" t="s">
        <v>17</v>
      </c>
      <c r="C16" s="4"/>
      <c r="D16" s="5">
        <v>8000</v>
      </c>
      <c r="E16" s="4"/>
      <c r="F16" s="4"/>
    </row>
    <row r="17" spans="2:6" x14ac:dyDescent="0.25">
      <c r="B17" s="4" t="s">
        <v>18</v>
      </c>
      <c r="C17" s="4"/>
      <c r="D17" s="5">
        <v>23000</v>
      </c>
      <c r="E17" s="4"/>
      <c r="F17" s="4"/>
    </row>
    <row r="18" spans="2:6" x14ac:dyDescent="0.25">
      <c r="B18" s="4" t="s">
        <v>19</v>
      </c>
      <c r="C18" s="4"/>
      <c r="D18" s="5">
        <v>40000</v>
      </c>
      <c r="E18" s="4"/>
      <c r="F18" s="4"/>
    </row>
    <row r="19" spans="2:6" x14ac:dyDescent="0.25">
      <c r="B19" s="4" t="s">
        <v>20</v>
      </c>
      <c r="C19" s="4"/>
      <c r="D19" s="5">
        <v>2500</v>
      </c>
      <c r="E19" s="4"/>
      <c r="F19" s="4"/>
    </row>
    <row r="20" spans="2:6" x14ac:dyDescent="0.25">
      <c r="B20" s="4" t="s">
        <v>21</v>
      </c>
      <c r="C20" s="4"/>
      <c r="D20" s="5">
        <v>3000</v>
      </c>
      <c r="E20" s="4"/>
      <c r="F20" s="4"/>
    </row>
    <row r="21" spans="2:6" x14ac:dyDescent="0.25">
      <c r="B21" s="4" t="s">
        <v>22</v>
      </c>
      <c r="C21" s="4"/>
      <c r="D21" s="5">
        <v>9000</v>
      </c>
      <c r="E21" s="4"/>
      <c r="F21" s="4"/>
    </row>
    <row r="22" spans="2:6" x14ac:dyDescent="0.25">
      <c r="B22" s="4" t="s">
        <v>23</v>
      </c>
      <c r="C22" s="4"/>
      <c r="D22" s="5">
        <v>1000</v>
      </c>
      <c r="E22" s="4"/>
      <c r="F22" s="4"/>
    </row>
    <row r="23" spans="2:6" x14ac:dyDescent="0.25">
      <c r="B23" s="4" t="s">
        <v>24</v>
      </c>
      <c r="C23" s="4"/>
      <c r="D23" s="5">
        <v>2500</v>
      </c>
      <c r="E23" s="4"/>
      <c r="F23" s="4"/>
    </row>
    <row r="24" spans="2:6" x14ac:dyDescent="0.25">
      <c r="B24" s="4" t="s">
        <v>35</v>
      </c>
      <c r="C24" s="4" t="s">
        <v>36</v>
      </c>
      <c r="D24" s="5">
        <v>3000</v>
      </c>
      <c r="E24" s="4"/>
      <c r="F24" s="4"/>
    </row>
    <row r="25" spans="2:6" x14ac:dyDescent="0.25">
      <c r="B25" s="4" t="s">
        <v>37</v>
      </c>
      <c r="C25" s="6"/>
      <c r="D25" s="4">
        <v>9000</v>
      </c>
      <c r="E25" s="4"/>
      <c r="F25" s="4"/>
    </row>
    <row r="26" spans="2:6" x14ac:dyDescent="0.25">
      <c r="B26" s="4" t="s">
        <v>38</v>
      </c>
      <c r="C26" s="4"/>
      <c r="D26" s="5">
        <v>2000</v>
      </c>
      <c r="E26" s="4"/>
      <c r="F26" s="4"/>
    </row>
    <row r="27" spans="2:6" x14ac:dyDescent="0.25">
      <c r="B27" s="4"/>
      <c r="C27" s="4"/>
      <c r="D27" s="4"/>
      <c r="E27" s="4"/>
      <c r="F27" s="4"/>
    </row>
    <row r="28" spans="2:6" ht="19.5" thickBot="1" x14ac:dyDescent="0.35">
      <c r="B28" s="11" t="s">
        <v>25</v>
      </c>
      <c r="C28" s="4"/>
      <c r="D28" s="4"/>
      <c r="E28" s="4"/>
      <c r="F28" s="4"/>
    </row>
    <row r="29" spans="2:6" ht="15.75" thickBot="1" x14ac:dyDescent="0.3">
      <c r="B29" s="7"/>
      <c r="C29" s="4"/>
      <c r="D29" s="4"/>
      <c r="E29" s="4"/>
      <c r="F29" s="4"/>
    </row>
    <row r="30" spans="2:6" x14ac:dyDescent="0.25">
      <c r="B30" s="4" t="s">
        <v>26</v>
      </c>
      <c r="C30" s="4" t="s">
        <v>27</v>
      </c>
      <c r="D30" s="4"/>
      <c r="E30" s="4"/>
      <c r="F30" s="4"/>
    </row>
    <row r="31" spans="2:6" x14ac:dyDescent="0.25">
      <c r="B31" s="4" t="s">
        <v>28</v>
      </c>
      <c r="C31" s="4" t="s">
        <v>27</v>
      </c>
      <c r="D31" s="4"/>
      <c r="E31" s="4"/>
      <c r="F31" s="4"/>
    </row>
    <row r="32" spans="2:6" x14ac:dyDescent="0.25">
      <c r="B32" s="4" t="s">
        <v>29</v>
      </c>
      <c r="C32" s="4" t="s">
        <v>27</v>
      </c>
      <c r="D32" s="4"/>
      <c r="E32" s="4"/>
      <c r="F32" s="4"/>
    </row>
    <row r="33" spans="2:6" x14ac:dyDescent="0.25">
      <c r="B33" s="4" t="s">
        <v>30</v>
      </c>
      <c r="C33" s="4" t="s">
        <v>27</v>
      </c>
      <c r="D33" s="4"/>
      <c r="E33" s="4"/>
      <c r="F33" s="4"/>
    </row>
    <row r="34" spans="2:6" x14ac:dyDescent="0.25">
      <c r="B34" s="4" t="s">
        <v>31</v>
      </c>
      <c r="C34" s="4" t="s">
        <v>27</v>
      </c>
      <c r="D34" s="4"/>
      <c r="E34" s="4"/>
      <c r="F34" s="4"/>
    </row>
    <row r="35" spans="2:6" x14ac:dyDescent="0.25">
      <c r="B35" s="4" t="s">
        <v>32</v>
      </c>
      <c r="C35" s="4" t="s">
        <v>33</v>
      </c>
      <c r="D35" s="4"/>
      <c r="E35" s="4"/>
      <c r="F35" s="4"/>
    </row>
    <row r="36" spans="2:6" x14ac:dyDescent="0.25">
      <c r="B36" s="4" t="s">
        <v>34</v>
      </c>
      <c r="C36" s="4" t="s">
        <v>27</v>
      </c>
      <c r="D36" s="4"/>
      <c r="E36" s="4"/>
      <c r="F36" s="4"/>
    </row>
    <row r="37" spans="2:6" x14ac:dyDescent="0.25">
      <c r="B37" s="4" t="s">
        <v>40</v>
      </c>
      <c r="C37" s="4" t="s">
        <v>41</v>
      </c>
      <c r="D37" s="4"/>
      <c r="E37" s="4"/>
      <c r="F37" s="4"/>
    </row>
    <row r="38" spans="2:6" x14ac:dyDescent="0.25">
      <c r="B38" s="4" t="s">
        <v>42</v>
      </c>
      <c r="C38" s="4" t="s">
        <v>36</v>
      </c>
      <c r="D38" s="5">
        <v>6000</v>
      </c>
      <c r="E38" s="4"/>
      <c r="F38" s="4"/>
    </row>
    <row r="39" spans="2:6" x14ac:dyDescent="0.25">
      <c r="B39" s="4" t="s">
        <v>43</v>
      </c>
      <c r="C39" s="4"/>
      <c r="D39" s="5">
        <v>6000</v>
      </c>
      <c r="E39" s="4"/>
      <c r="F39" s="4"/>
    </row>
    <row r="40" spans="2:6" x14ac:dyDescent="0.25">
      <c r="B40" s="4" t="s">
        <v>48</v>
      </c>
      <c r="C40" s="4"/>
      <c r="D40" s="5">
        <v>2000</v>
      </c>
      <c r="E40" s="4"/>
      <c r="F40" s="4"/>
    </row>
    <row r="41" spans="2:6" x14ac:dyDescent="0.25">
      <c r="B41" s="4" t="s">
        <v>44</v>
      </c>
      <c r="C41" s="4"/>
      <c r="D41" s="4"/>
      <c r="E41" s="4"/>
      <c r="F41" s="4"/>
    </row>
    <row r="42" spans="2:6" x14ac:dyDescent="0.25">
      <c r="B42" s="4" t="s">
        <v>45</v>
      </c>
      <c r="C42" s="4"/>
      <c r="D42" s="4"/>
      <c r="E42" s="4"/>
      <c r="F42" s="4"/>
    </row>
    <row r="43" spans="2:6" x14ac:dyDescent="0.25">
      <c r="B43" s="4" t="s">
        <v>46</v>
      </c>
      <c r="C43" s="4"/>
      <c r="D43" s="4"/>
      <c r="E43" s="4"/>
      <c r="F43" s="4"/>
    </row>
    <row r="44" spans="2:6" x14ac:dyDescent="0.25">
      <c r="B44" s="4" t="s">
        <v>49</v>
      </c>
      <c r="C44" s="4"/>
      <c r="D44" s="5">
        <v>4000</v>
      </c>
      <c r="E44" s="4"/>
      <c r="F44" s="4"/>
    </row>
    <row r="45" spans="2:6" x14ac:dyDescent="0.25">
      <c r="B45" s="4"/>
      <c r="C45" s="4"/>
      <c r="D45" s="5"/>
      <c r="E45" s="4"/>
      <c r="F45" s="4"/>
    </row>
    <row r="46" spans="2:6" ht="21.75" thickBot="1" x14ac:dyDescent="0.4">
      <c r="B46" s="8"/>
      <c r="C46" s="9" t="s">
        <v>47</v>
      </c>
      <c r="D46" s="12">
        <f>SUM(D4:D44)</f>
        <v>240000</v>
      </c>
      <c r="E46" s="1"/>
      <c r="F4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21"/>
  <sheetViews>
    <sheetView topLeftCell="A22" workbookViewId="0">
      <selection activeCell="B38" sqref="B38"/>
    </sheetView>
  </sheetViews>
  <sheetFormatPr defaultRowHeight="15" x14ac:dyDescent="0.25"/>
  <cols>
    <col min="1" max="1" width="5.7109375" customWidth="1"/>
    <col min="2" max="2" width="29" customWidth="1"/>
    <col min="3" max="3" width="12" customWidth="1"/>
    <col min="4" max="4" width="13.7109375" customWidth="1"/>
    <col min="5" max="5" width="15.140625" customWidth="1"/>
    <col min="6" max="6" width="10.5703125" customWidth="1"/>
    <col min="8" max="8" width="14.42578125" customWidth="1"/>
  </cols>
  <sheetData>
    <row r="2" spans="2:7" x14ac:dyDescent="0.25">
      <c r="B2" s="13" t="s">
        <v>65</v>
      </c>
      <c r="C2" s="13"/>
      <c r="D2" s="13"/>
      <c r="E2" s="13"/>
      <c r="F2" s="14"/>
      <c r="G2" s="14"/>
    </row>
    <row r="3" spans="2:7" x14ac:dyDescent="0.25">
      <c r="B3" s="14"/>
      <c r="C3" s="14"/>
      <c r="D3" s="14"/>
      <c r="E3" s="14"/>
      <c r="F3" s="14"/>
      <c r="G3" s="14"/>
    </row>
    <row r="4" spans="2:7" ht="15.75" x14ac:dyDescent="0.25"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4"/>
    </row>
    <row r="5" spans="2:7" x14ac:dyDescent="0.25">
      <c r="B5" s="16"/>
      <c r="C5" s="16"/>
      <c r="D5" s="16"/>
      <c r="E5" s="16"/>
      <c r="F5" s="16"/>
      <c r="G5" s="14"/>
    </row>
    <row r="6" spans="2:7" ht="15.75" x14ac:dyDescent="0.25">
      <c r="B6" s="17" t="s">
        <v>6</v>
      </c>
      <c r="C6" s="17"/>
      <c r="D6" s="18">
        <f>8000+2000</f>
        <v>10000</v>
      </c>
      <c r="E6" s="16"/>
      <c r="F6" s="16"/>
      <c r="G6" s="14"/>
    </row>
    <row r="7" spans="2:7" ht="15.75" x14ac:dyDescent="0.25">
      <c r="B7" s="17" t="s">
        <v>22</v>
      </c>
      <c r="C7" s="17"/>
      <c r="D7" s="18">
        <v>9000</v>
      </c>
      <c r="E7" s="16"/>
      <c r="F7" s="16"/>
      <c r="G7" s="14"/>
    </row>
    <row r="8" spans="2:7" ht="15.75" x14ac:dyDescent="0.25">
      <c r="B8" s="19" t="s">
        <v>8</v>
      </c>
      <c r="C8" s="17"/>
      <c r="D8" s="18">
        <f>20000+3500</f>
        <v>23500</v>
      </c>
      <c r="E8" s="16"/>
      <c r="F8" s="16"/>
      <c r="G8" s="14"/>
    </row>
    <row r="9" spans="2:7" ht="15.75" x14ac:dyDescent="0.25">
      <c r="B9" s="19" t="s">
        <v>50</v>
      </c>
      <c r="C9" s="17"/>
      <c r="D9" s="18">
        <v>9000</v>
      </c>
      <c r="E9" s="16"/>
      <c r="F9" s="16"/>
      <c r="G9" s="14"/>
    </row>
    <row r="10" spans="2:7" ht="15.75" x14ac:dyDescent="0.25">
      <c r="B10" s="19" t="s">
        <v>51</v>
      </c>
      <c r="C10" s="17"/>
      <c r="D10" s="18">
        <v>1500</v>
      </c>
      <c r="E10" s="16"/>
      <c r="F10" s="16"/>
      <c r="G10" s="14"/>
    </row>
    <row r="11" spans="2:7" ht="15.75" x14ac:dyDescent="0.25">
      <c r="B11" s="19" t="s">
        <v>9</v>
      </c>
      <c r="C11" s="17"/>
      <c r="D11" s="18">
        <v>6000</v>
      </c>
      <c r="E11" s="16"/>
      <c r="F11" s="16"/>
      <c r="G11" s="14"/>
    </row>
    <row r="12" spans="2:7" ht="15.75" x14ac:dyDescent="0.25">
      <c r="B12" s="19" t="s">
        <v>10</v>
      </c>
      <c r="C12" s="17"/>
      <c r="D12" s="18">
        <v>5500</v>
      </c>
      <c r="E12" s="16"/>
      <c r="F12" s="16"/>
      <c r="G12" s="14"/>
    </row>
    <row r="13" spans="2:7" ht="15.75" x14ac:dyDescent="0.25">
      <c r="B13" s="19" t="s">
        <v>11</v>
      </c>
      <c r="C13" s="17"/>
      <c r="D13" s="18">
        <v>5000</v>
      </c>
      <c r="E13" s="16"/>
      <c r="F13" s="16"/>
      <c r="G13" s="14"/>
    </row>
    <row r="14" spans="2:7" ht="15.75" x14ac:dyDescent="0.25">
      <c r="B14" s="19" t="s">
        <v>12</v>
      </c>
      <c r="C14" s="17"/>
      <c r="D14" s="18">
        <v>5000</v>
      </c>
      <c r="E14" s="16"/>
      <c r="F14" s="16"/>
      <c r="G14" s="14"/>
    </row>
    <row r="15" spans="2:7" ht="15.75" x14ac:dyDescent="0.25">
      <c r="B15" s="19" t="s">
        <v>52</v>
      </c>
      <c r="C15" s="17"/>
      <c r="D15" s="18">
        <v>8000</v>
      </c>
      <c r="E15" s="16"/>
      <c r="F15" s="16"/>
      <c r="G15" s="14"/>
    </row>
    <row r="16" spans="2:7" ht="15.75" x14ac:dyDescent="0.25">
      <c r="B16" s="19" t="s">
        <v>14</v>
      </c>
      <c r="C16" s="17"/>
      <c r="D16" s="18">
        <v>28000</v>
      </c>
      <c r="E16" s="16"/>
      <c r="F16" s="16"/>
      <c r="G16" s="14"/>
    </row>
    <row r="17" spans="2:7" ht="15.75" x14ac:dyDescent="0.25">
      <c r="B17" s="19" t="s">
        <v>53</v>
      </c>
      <c r="C17" s="17"/>
      <c r="D17" s="18">
        <f>46000+5000</f>
        <v>51000</v>
      </c>
      <c r="E17" s="16"/>
      <c r="F17" s="16"/>
      <c r="G17" s="14"/>
    </row>
    <row r="18" spans="2:7" ht="15.75" x14ac:dyDescent="0.25">
      <c r="B18" s="19" t="s">
        <v>19</v>
      </c>
      <c r="C18" s="17"/>
      <c r="D18" s="18">
        <f>38000+0</f>
        <v>38000</v>
      </c>
      <c r="E18" s="16"/>
      <c r="F18" s="16"/>
      <c r="G18" s="14"/>
    </row>
    <row r="19" spans="2:7" ht="15.75" x14ac:dyDescent="0.25">
      <c r="B19" s="19" t="s">
        <v>15</v>
      </c>
      <c r="C19" s="17"/>
      <c r="D19" s="18">
        <f>13500+1500</f>
        <v>15000</v>
      </c>
      <c r="E19" s="16"/>
      <c r="F19" s="16"/>
      <c r="G19" s="14"/>
    </row>
    <row r="20" spans="2:7" ht="15.75" x14ac:dyDescent="0.25">
      <c r="B20" s="19" t="s">
        <v>54</v>
      </c>
      <c r="C20" s="17"/>
      <c r="D20" s="18">
        <v>8000</v>
      </c>
      <c r="E20" s="16"/>
      <c r="F20" s="16"/>
      <c r="G20" s="14"/>
    </row>
    <row r="21" spans="2:7" ht="15.75" x14ac:dyDescent="0.25">
      <c r="B21" s="19" t="s">
        <v>7</v>
      </c>
      <c r="C21" s="17"/>
      <c r="D21" s="18">
        <v>9000</v>
      </c>
      <c r="E21" s="16"/>
      <c r="F21" s="16"/>
      <c r="G21" s="14"/>
    </row>
    <row r="22" spans="2:7" ht="15.75" x14ac:dyDescent="0.25">
      <c r="B22" s="19" t="s">
        <v>16</v>
      </c>
      <c r="C22" s="17"/>
      <c r="D22" s="18">
        <v>8000</v>
      </c>
      <c r="E22" s="16"/>
      <c r="F22" s="16"/>
      <c r="G22" s="14"/>
    </row>
    <row r="23" spans="2:7" ht="15.75" x14ac:dyDescent="0.25">
      <c r="B23" s="19" t="s">
        <v>23</v>
      </c>
      <c r="C23" s="17"/>
      <c r="D23" s="18">
        <v>4000</v>
      </c>
      <c r="E23" s="16"/>
      <c r="F23" s="16"/>
      <c r="G23" s="14"/>
    </row>
    <row r="24" spans="2:7" ht="15.75" x14ac:dyDescent="0.25">
      <c r="B24" s="19" t="s">
        <v>55</v>
      </c>
      <c r="C24" s="17"/>
      <c r="D24" s="18">
        <v>1000</v>
      </c>
      <c r="E24" s="16"/>
      <c r="F24" s="16"/>
      <c r="G24" s="14"/>
    </row>
    <row r="25" spans="2:7" ht="15.75" x14ac:dyDescent="0.25">
      <c r="B25" s="19" t="s">
        <v>64</v>
      </c>
      <c r="C25" s="17"/>
      <c r="D25" s="18"/>
      <c r="E25" s="16"/>
      <c r="F25" s="16"/>
      <c r="G25" s="14"/>
    </row>
    <row r="26" spans="2:7" ht="15.75" x14ac:dyDescent="0.25">
      <c r="B26" s="17"/>
      <c r="C26" s="20"/>
      <c r="D26" s="21"/>
      <c r="E26" s="16"/>
      <c r="F26" s="16"/>
      <c r="G26" s="14"/>
    </row>
    <row r="27" spans="2:7" ht="15.75" x14ac:dyDescent="0.25">
      <c r="B27" s="17"/>
      <c r="C27" s="17"/>
      <c r="D27" s="22"/>
      <c r="E27" s="16"/>
      <c r="F27" s="16"/>
      <c r="G27" s="14"/>
    </row>
    <row r="28" spans="2:7" ht="15.75" x14ac:dyDescent="0.25">
      <c r="B28" s="17"/>
      <c r="C28" s="17"/>
      <c r="D28" s="17"/>
      <c r="E28" s="16"/>
      <c r="F28" s="16"/>
      <c r="G28" s="14"/>
    </row>
    <row r="29" spans="2:7" ht="15.75" x14ac:dyDescent="0.25">
      <c r="B29" s="23" t="s">
        <v>25</v>
      </c>
      <c r="C29" s="17"/>
      <c r="D29" s="21"/>
      <c r="E29" s="16"/>
      <c r="F29" s="16"/>
      <c r="G29" s="14"/>
    </row>
    <row r="30" spans="2:7" ht="15.75" x14ac:dyDescent="0.25">
      <c r="B30" s="17"/>
      <c r="C30" s="17"/>
      <c r="D30" s="17"/>
      <c r="E30" s="16"/>
      <c r="F30" s="16"/>
      <c r="G30" s="14"/>
    </row>
    <row r="31" spans="2:7" ht="15.75" x14ac:dyDescent="0.25">
      <c r="B31" s="17" t="s">
        <v>26</v>
      </c>
      <c r="C31" s="17" t="s">
        <v>27</v>
      </c>
      <c r="D31" s="17"/>
      <c r="E31" s="16"/>
      <c r="F31" s="16"/>
      <c r="G31" s="14"/>
    </row>
    <row r="32" spans="2:7" ht="15.75" x14ac:dyDescent="0.25">
      <c r="B32" s="17" t="s">
        <v>56</v>
      </c>
      <c r="C32" s="17" t="s">
        <v>27</v>
      </c>
      <c r="D32" s="17"/>
      <c r="E32" s="16"/>
      <c r="F32" s="16"/>
      <c r="G32" s="14"/>
    </row>
    <row r="33" spans="2:10" ht="15.75" x14ac:dyDescent="0.25">
      <c r="B33" s="19" t="s">
        <v>59</v>
      </c>
      <c r="C33" s="17" t="s">
        <v>27</v>
      </c>
      <c r="D33" s="17"/>
      <c r="E33" s="16"/>
      <c r="F33" s="16"/>
      <c r="G33" s="14"/>
    </row>
    <row r="34" spans="2:10" ht="15.75" x14ac:dyDescent="0.25">
      <c r="B34" s="19" t="s">
        <v>57</v>
      </c>
      <c r="C34" s="19" t="s">
        <v>58</v>
      </c>
      <c r="D34" s="17"/>
      <c r="E34" s="16"/>
      <c r="F34" s="16"/>
      <c r="G34" s="14"/>
    </row>
    <row r="35" spans="2:10" ht="15.75" x14ac:dyDescent="0.25">
      <c r="B35" s="19" t="s">
        <v>59</v>
      </c>
      <c r="C35" s="17" t="s">
        <v>60</v>
      </c>
      <c r="D35" s="17"/>
      <c r="E35" s="16"/>
      <c r="F35" s="16"/>
      <c r="G35" s="14"/>
    </row>
    <row r="36" spans="2:10" ht="15.75" x14ac:dyDescent="0.25">
      <c r="B36" s="19" t="s">
        <v>62</v>
      </c>
      <c r="C36" s="17" t="s">
        <v>61</v>
      </c>
      <c r="D36" s="17"/>
      <c r="E36" s="16"/>
      <c r="F36" s="16"/>
      <c r="G36" s="14"/>
    </row>
    <row r="37" spans="2:10" ht="15.75" x14ac:dyDescent="0.25">
      <c r="B37" s="19" t="s">
        <v>40</v>
      </c>
      <c r="C37" s="17"/>
      <c r="D37" s="17"/>
      <c r="E37" s="16"/>
      <c r="F37" s="16"/>
      <c r="G37" s="14"/>
    </row>
    <row r="38" spans="2:10" ht="15.75" x14ac:dyDescent="0.25">
      <c r="B38" s="19" t="s">
        <v>63</v>
      </c>
      <c r="C38" s="17"/>
      <c r="D38" s="17"/>
      <c r="E38" s="16"/>
      <c r="F38" s="16"/>
      <c r="G38" s="14"/>
    </row>
    <row r="39" spans="2:10" ht="15.75" x14ac:dyDescent="0.25">
      <c r="B39" s="17" t="s">
        <v>49</v>
      </c>
      <c r="C39" s="17"/>
      <c r="D39" s="18">
        <v>4600</v>
      </c>
      <c r="E39" s="16"/>
      <c r="F39" s="16"/>
      <c r="G39" s="14"/>
    </row>
    <row r="40" spans="2:10" ht="21" x14ac:dyDescent="0.35">
      <c r="B40" s="24"/>
      <c r="C40" s="25" t="s">
        <v>47</v>
      </c>
      <c r="D40" s="26">
        <f>SUM(D6:D39)</f>
        <v>249100</v>
      </c>
      <c r="E40" s="14"/>
      <c r="F40" s="14"/>
      <c r="G40" s="14"/>
    </row>
    <row r="41" spans="2:10" x14ac:dyDescent="0.25">
      <c r="B41" s="14"/>
      <c r="C41" s="14"/>
      <c r="D41" s="14"/>
      <c r="E41" s="14"/>
      <c r="F41" s="14"/>
      <c r="G41" s="14"/>
    </row>
    <row r="42" spans="2:10" x14ac:dyDescent="0.25">
      <c r="B42" s="38"/>
      <c r="C42" s="39"/>
      <c r="D42" s="39"/>
      <c r="E42" s="39"/>
      <c r="F42" s="39"/>
      <c r="G42" s="39"/>
    </row>
    <row r="43" spans="2:10" x14ac:dyDescent="0.25">
      <c r="B43" s="38"/>
      <c r="C43" s="39"/>
      <c r="D43" s="39"/>
      <c r="E43" s="39"/>
      <c r="F43" s="39"/>
      <c r="G43" s="39"/>
    </row>
    <row r="44" spans="2:10" x14ac:dyDescent="0.25">
      <c r="B44" s="38"/>
      <c r="C44" s="39"/>
      <c r="D44" s="39"/>
      <c r="E44" s="39"/>
      <c r="F44" s="39"/>
      <c r="G44" s="46"/>
    </row>
    <row r="45" spans="2:10" x14ac:dyDescent="0.25">
      <c r="B45" s="45"/>
      <c r="C45" s="45"/>
      <c r="D45" s="45"/>
      <c r="E45" s="45"/>
      <c r="F45" s="45"/>
      <c r="G45" s="35"/>
    </row>
    <row r="46" spans="2:10" ht="15.75" thickBot="1" x14ac:dyDescent="0.3">
      <c r="B46" s="37"/>
      <c r="C46" s="37"/>
      <c r="D46" s="37"/>
      <c r="E46" s="37"/>
      <c r="F46" s="37"/>
      <c r="G46" s="44"/>
      <c r="H46" s="35"/>
      <c r="J46" s="35"/>
    </row>
    <row r="47" spans="2:10" x14ac:dyDescent="0.25">
      <c r="B47" s="27" t="s">
        <v>67</v>
      </c>
      <c r="C47" s="28"/>
      <c r="D47" s="28"/>
      <c r="E47" s="28"/>
      <c r="F47" s="29"/>
      <c r="G47" s="39"/>
      <c r="H47" s="42"/>
    </row>
    <row r="48" spans="2:10" x14ac:dyDescent="0.25">
      <c r="B48" s="30"/>
      <c r="C48" s="14"/>
      <c r="D48" s="14"/>
      <c r="E48" s="14"/>
      <c r="F48" s="14"/>
      <c r="G48" s="14"/>
      <c r="H48" s="35"/>
      <c r="J48" s="35"/>
    </row>
    <row r="49" spans="2:10" ht="15.75" x14ac:dyDescent="0.25">
      <c r="B49" s="40" t="s">
        <v>0</v>
      </c>
      <c r="C49" s="41" t="s">
        <v>1</v>
      </c>
      <c r="D49" s="41" t="s">
        <v>68</v>
      </c>
      <c r="E49" s="41" t="s">
        <v>69</v>
      </c>
      <c r="F49" s="41" t="s">
        <v>70</v>
      </c>
      <c r="G49" s="47" t="s">
        <v>4</v>
      </c>
      <c r="H49" s="35"/>
    </row>
    <row r="50" spans="2:10" x14ac:dyDescent="0.25">
      <c r="B50" s="31"/>
      <c r="C50" s="16"/>
      <c r="D50" s="16"/>
      <c r="E50" s="16"/>
      <c r="F50" s="16"/>
      <c r="G50" s="14"/>
      <c r="H50" s="35"/>
    </row>
    <row r="51" spans="2:10" ht="18.75" x14ac:dyDescent="0.3">
      <c r="B51" s="33" t="s">
        <v>71</v>
      </c>
      <c r="C51" s="50" t="s">
        <v>27</v>
      </c>
      <c r="D51" s="18"/>
      <c r="E51" s="16"/>
      <c r="F51" s="16"/>
      <c r="G51" s="14"/>
      <c r="H51" s="35"/>
    </row>
    <row r="52" spans="2:10" ht="18.75" x14ac:dyDescent="0.3">
      <c r="B52" s="33" t="s">
        <v>72</v>
      </c>
      <c r="C52" s="50" t="s">
        <v>27</v>
      </c>
      <c r="D52" s="18"/>
      <c r="E52" s="16"/>
      <c r="F52" s="16"/>
      <c r="G52" s="14"/>
      <c r="H52" s="35"/>
    </row>
    <row r="53" spans="2:10" ht="18.75" x14ac:dyDescent="0.3">
      <c r="B53" s="49" t="s">
        <v>73</v>
      </c>
      <c r="C53" s="17"/>
      <c r="D53" s="51">
        <v>25000</v>
      </c>
      <c r="E53" s="16"/>
      <c r="F53" s="16"/>
      <c r="G53" s="14"/>
      <c r="H53" s="35"/>
    </row>
    <row r="54" spans="2:10" ht="18.75" x14ac:dyDescent="0.3">
      <c r="B54" s="49" t="s">
        <v>74</v>
      </c>
      <c r="C54" s="17"/>
      <c r="D54" s="51">
        <v>35000</v>
      </c>
      <c r="E54" s="16"/>
      <c r="F54" s="16"/>
      <c r="G54" s="14"/>
      <c r="H54" s="35"/>
    </row>
    <row r="55" spans="2:10" ht="18.75" x14ac:dyDescent="0.3">
      <c r="B55" s="49" t="s">
        <v>53</v>
      </c>
      <c r="C55" s="17"/>
      <c r="D55" s="51">
        <v>5000</v>
      </c>
      <c r="E55" s="16"/>
      <c r="F55" s="16"/>
      <c r="G55" s="14"/>
      <c r="H55" s="35"/>
    </row>
    <row r="56" spans="2:10" ht="18.75" x14ac:dyDescent="0.3">
      <c r="B56" s="49" t="s">
        <v>19</v>
      </c>
      <c r="C56" s="17"/>
      <c r="D56" s="51">
        <v>35000</v>
      </c>
      <c r="E56" s="16"/>
      <c r="F56" s="16"/>
      <c r="G56" s="14"/>
      <c r="H56" s="35"/>
    </row>
    <row r="57" spans="2:10" ht="18.75" x14ac:dyDescent="0.3">
      <c r="B57" s="49" t="s">
        <v>75</v>
      </c>
      <c r="C57" s="17"/>
      <c r="D57" s="51">
        <v>7000</v>
      </c>
      <c r="E57" s="16"/>
      <c r="F57" s="16"/>
      <c r="G57" s="14"/>
      <c r="H57" s="35"/>
    </row>
    <row r="58" spans="2:10" ht="18.75" x14ac:dyDescent="0.3">
      <c r="B58" s="49" t="s">
        <v>76</v>
      </c>
      <c r="C58" s="17"/>
      <c r="D58" s="51">
        <v>5000</v>
      </c>
      <c r="E58" s="16"/>
      <c r="F58" s="16"/>
      <c r="G58" s="14"/>
      <c r="H58" s="35"/>
    </row>
    <row r="59" spans="2:10" ht="18.75" x14ac:dyDescent="0.3">
      <c r="B59" s="49" t="s">
        <v>77</v>
      </c>
      <c r="C59" s="17"/>
      <c r="D59" s="51">
        <v>5000</v>
      </c>
      <c r="E59" s="16"/>
      <c r="F59" s="16"/>
      <c r="G59" s="14"/>
      <c r="H59" s="35"/>
      <c r="J59" s="35"/>
    </row>
    <row r="60" spans="2:10" ht="18.75" x14ac:dyDescent="0.3">
      <c r="B60" s="49" t="s">
        <v>78</v>
      </c>
      <c r="C60" s="17"/>
      <c r="D60" s="51">
        <v>5000</v>
      </c>
      <c r="E60" s="16"/>
      <c r="F60" s="16"/>
      <c r="G60" s="14"/>
      <c r="H60" s="35"/>
    </row>
    <row r="61" spans="2:10" ht="18.75" x14ac:dyDescent="0.3">
      <c r="B61" s="49" t="s">
        <v>79</v>
      </c>
      <c r="C61" s="17"/>
      <c r="D61" s="51"/>
      <c r="E61" s="16"/>
      <c r="F61" s="16"/>
      <c r="G61" s="14"/>
      <c r="H61" s="35"/>
    </row>
    <row r="62" spans="2:10" ht="18.75" x14ac:dyDescent="0.3">
      <c r="B62" s="49" t="s">
        <v>66</v>
      </c>
      <c r="C62" s="47" t="s">
        <v>60</v>
      </c>
      <c r="D62" s="51">
        <v>2000</v>
      </c>
      <c r="E62" s="16"/>
      <c r="F62" s="16"/>
      <c r="G62" s="14"/>
      <c r="H62" s="35"/>
    </row>
    <row r="63" spans="2:10" ht="18.75" x14ac:dyDescent="0.3">
      <c r="B63" s="49" t="s">
        <v>13</v>
      </c>
      <c r="C63" s="47" t="s">
        <v>39</v>
      </c>
      <c r="D63" s="51">
        <v>15000</v>
      </c>
      <c r="E63" s="16"/>
      <c r="F63" s="16"/>
      <c r="G63" s="14"/>
      <c r="H63" s="35"/>
    </row>
    <row r="64" spans="2:10" ht="18.75" x14ac:dyDescent="0.3">
      <c r="B64" s="49" t="s">
        <v>15</v>
      </c>
      <c r="C64" s="47"/>
      <c r="D64" s="51">
        <v>15000</v>
      </c>
      <c r="E64" s="16"/>
      <c r="F64" s="16"/>
      <c r="G64" s="14"/>
      <c r="H64" s="35"/>
    </row>
    <row r="65" spans="1:8" ht="18.75" x14ac:dyDescent="0.3">
      <c r="B65" s="49" t="s">
        <v>54</v>
      </c>
      <c r="C65" s="47"/>
      <c r="D65" s="51">
        <v>8000</v>
      </c>
      <c r="E65" s="16"/>
      <c r="F65" s="16"/>
      <c r="G65" s="14"/>
      <c r="H65" s="35"/>
    </row>
    <row r="66" spans="1:8" ht="15.75" x14ac:dyDescent="0.25">
      <c r="B66" s="49" t="s">
        <v>80</v>
      </c>
      <c r="C66" s="47" t="s">
        <v>81</v>
      </c>
      <c r="D66" s="18"/>
      <c r="E66" s="16"/>
      <c r="F66" s="16"/>
      <c r="G66" s="14"/>
      <c r="H66" s="35"/>
    </row>
    <row r="67" spans="1:8" ht="15.75" x14ac:dyDescent="0.25">
      <c r="B67" s="49" t="s">
        <v>82</v>
      </c>
      <c r="C67" s="47" t="s">
        <v>27</v>
      </c>
      <c r="D67" s="18"/>
      <c r="E67" s="16"/>
      <c r="F67" s="16"/>
      <c r="G67" s="14"/>
      <c r="H67" s="35"/>
    </row>
    <row r="68" spans="1:8" ht="15.75" x14ac:dyDescent="0.25">
      <c r="B68" s="32"/>
      <c r="C68" s="20"/>
      <c r="D68" s="21"/>
      <c r="E68" s="16"/>
      <c r="F68" s="16"/>
      <c r="G68" s="14"/>
      <c r="H68" s="35"/>
    </row>
    <row r="69" spans="1:8" ht="18.75" x14ac:dyDescent="0.3">
      <c r="B69" s="33" t="s">
        <v>49</v>
      </c>
      <c r="C69" s="17"/>
      <c r="D69" s="51">
        <v>4000</v>
      </c>
      <c r="E69" s="16"/>
      <c r="F69" s="16"/>
      <c r="G69" s="14"/>
      <c r="H69" s="35"/>
    </row>
    <row r="70" spans="1:8" ht="23.25" x14ac:dyDescent="0.35">
      <c r="B70" s="33"/>
      <c r="C70" s="17"/>
      <c r="D70" s="48"/>
      <c r="E70" s="16"/>
      <c r="F70" s="16"/>
      <c r="G70" s="14"/>
      <c r="H70" s="35"/>
    </row>
    <row r="71" spans="1:8" ht="21" x14ac:dyDescent="0.35">
      <c r="B71" s="34"/>
      <c r="C71" s="25" t="s">
        <v>47</v>
      </c>
      <c r="D71" s="26">
        <f>SUM(D51:D69)</f>
        <v>166000</v>
      </c>
      <c r="E71" s="14"/>
      <c r="F71" s="14"/>
      <c r="G71" s="14"/>
      <c r="H71" s="35"/>
    </row>
    <row r="72" spans="1:8" x14ac:dyDescent="0.25">
      <c r="B72" s="30"/>
      <c r="C72" s="14"/>
      <c r="D72" s="14"/>
      <c r="E72" s="14"/>
      <c r="F72" s="14"/>
      <c r="G72" s="14"/>
      <c r="H72" s="35"/>
    </row>
    <row r="73" spans="1:8" ht="15.75" thickBot="1" x14ac:dyDescent="0.3">
      <c r="B73" s="36"/>
      <c r="C73" s="37"/>
      <c r="D73" s="37"/>
      <c r="E73" s="37"/>
      <c r="F73" s="37"/>
      <c r="G73" s="43"/>
      <c r="H73" s="35"/>
    </row>
    <row r="75" spans="1:8" ht="15.75" thickBot="1" x14ac:dyDescent="0.3"/>
    <row r="76" spans="1:8" ht="15.75" x14ac:dyDescent="0.25">
      <c r="B76" s="64" t="s">
        <v>88</v>
      </c>
      <c r="C76" s="65"/>
      <c r="D76" s="65"/>
      <c r="E76" s="65"/>
      <c r="F76" s="66"/>
      <c r="G76" s="17"/>
    </row>
    <row r="77" spans="1:8" x14ac:dyDescent="0.25">
      <c r="B77" s="30"/>
      <c r="C77" s="14"/>
      <c r="D77" s="14"/>
      <c r="E77" s="14"/>
      <c r="F77" s="14"/>
      <c r="G77" s="14"/>
    </row>
    <row r="78" spans="1:8" ht="15.75" x14ac:dyDescent="0.25">
      <c r="B78" s="40" t="s">
        <v>0</v>
      </c>
      <c r="C78" s="41" t="s">
        <v>1</v>
      </c>
      <c r="D78" s="41" t="s">
        <v>68</v>
      </c>
      <c r="E78" s="41" t="s">
        <v>69</v>
      </c>
      <c r="F78" s="41" t="s">
        <v>70</v>
      </c>
      <c r="G78" s="47" t="s">
        <v>4</v>
      </c>
    </row>
    <row r="79" spans="1:8" ht="18.75" x14ac:dyDescent="0.3">
      <c r="B79" s="62" t="s">
        <v>117</v>
      </c>
      <c r="C79" s="16"/>
      <c r="D79" s="53">
        <v>10000</v>
      </c>
      <c r="E79" s="16"/>
      <c r="F79" s="16"/>
      <c r="G79" s="14"/>
    </row>
    <row r="80" spans="1:8" ht="18.75" x14ac:dyDescent="0.3">
      <c r="A80">
        <v>1</v>
      </c>
      <c r="B80" s="62" t="s">
        <v>89</v>
      </c>
      <c r="C80" s="58" t="s">
        <v>92</v>
      </c>
      <c r="D80" s="53">
        <v>25000</v>
      </c>
      <c r="E80" s="16"/>
      <c r="F80" s="16"/>
      <c r="G80" s="14"/>
    </row>
    <row r="81" spans="1:7" ht="15.75" x14ac:dyDescent="0.25">
      <c r="A81">
        <v>2</v>
      </c>
      <c r="B81" s="33" t="s">
        <v>90</v>
      </c>
      <c r="C81" s="52" t="s">
        <v>91</v>
      </c>
      <c r="D81" s="53"/>
      <c r="E81" s="16"/>
      <c r="F81" s="16"/>
      <c r="G81" s="14"/>
    </row>
    <row r="82" spans="1:7" ht="18.75" x14ac:dyDescent="0.3">
      <c r="A82">
        <v>3</v>
      </c>
      <c r="B82" s="49" t="s">
        <v>26</v>
      </c>
      <c r="C82" s="23" t="s">
        <v>87</v>
      </c>
      <c r="D82" s="51"/>
      <c r="E82" s="16"/>
      <c r="F82" s="16"/>
      <c r="G82" s="14"/>
    </row>
    <row r="83" spans="1:7" ht="18.75" x14ac:dyDescent="0.3">
      <c r="A83">
        <v>4</v>
      </c>
      <c r="B83" s="49" t="s">
        <v>23</v>
      </c>
      <c r="C83" s="51"/>
      <c r="D83" s="51">
        <v>2000</v>
      </c>
      <c r="E83" s="16"/>
      <c r="F83" s="16"/>
      <c r="G83" s="14"/>
    </row>
    <row r="84" spans="1:7" ht="18.75" x14ac:dyDescent="0.3">
      <c r="A84">
        <v>5</v>
      </c>
      <c r="B84" s="49" t="s">
        <v>93</v>
      </c>
      <c r="C84" s="23" t="s">
        <v>94</v>
      </c>
      <c r="D84" s="51"/>
      <c r="E84" s="16"/>
      <c r="F84" s="16"/>
      <c r="G84" s="14"/>
    </row>
    <row r="85" spans="1:7" ht="18.75" x14ac:dyDescent="0.3">
      <c r="A85">
        <v>6</v>
      </c>
      <c r="B85" s="49" t="s">
        <v>84</v>
      </c>
      <c r="C85" s="23" t="s">
        <v>85</v>
      </c>
      <c r="D85" s="51">
        <v>20000</v>
      </c>
      <c r="E85" s="16"/>
      <c r="F85" s="16"/>
      <c r="G85" s="14"/>
    </row>
    <row r="86" spans="1:7" ht="18.75" x14ac:dyDescent="0.3">
      <c r="A86">
        <v>7</v>
      </c>
      <c r="B86" s="49" t="s">
        <v>95</v>
      </c>
      <c r="C86" s="23" t="s">
        <v>96</v>
      </c>
      <c r="D86" s="51">
        <v>25000</v>
      </c>
      <c r="E86" s="16"/>
      <c r="F86" s="16"/>
      <c r="G86" s="14"/>
    </row>
    <row r="87" spans="1:7" ht="18.75" x14ac:dyDescent="0.3">
      <c r="A87">
        <v>8</v>
      </c>
      <c r="B87" s="49" t="s">
        <v>78</v>
      </c>
      <c r="C87" s="53"/>
      <c r="D87" s="51">
        <v>10000</v>
      </c>
      <c r="E87" s="16"/>
      <c r="F87" s="16"/>
      <c r="G87" s="14"/>
    </row>
    <row r="88" spans="1:7" ht="18.75" x14ac:dyDescent="0.3">
      <c r="A88">
        <v>9</v>
      </c>
      <c r="B88" s="49" t="s">
        <v>37</v>
      </c>
      <c r="C88" s="53" t="s">
        <v>98</v>
      </c>
      <c r="D88" s="51">
        <v>11000</v>
      </c>
      <c r="E88" s="16"/>
      <c r="F88" s="16"/>
      <c r="G88" s="14"/>
    </row>
    <row r="89" spans="1:7" ht="18.75" x14ac:dyDescent="0.3">
      <c r="A89">
        <v>10</v>
      </c>
      <c r="B89" s="49" t="s">
        <v>22</v>
      </c>
      <c r="C89" s="18"/>
      <c r="D89" s="51">
        <v>9000</v>
      </c>
      <c r="E89" s="16"/>
      <c r="F89" s="16"/>
      <c r="G89" s="14"/>
    </row>
    <row r="90" spans="1:7" ht="18.75" x14ac:dyDescent="0.3">
      <c r="A90">
        <v>11</v>
      </c>
      <c r="B90" s="49" t="s">
        <v>7</v>
      </c>
      <c r="C90" s="18"/>
      <c r="D90" s="51">
        <v>8000</v>
      </c>
      <c r="E90" s="16"/>
      <c r="F90" s="16"/>
      <c r="G90" s="14"/>
    </row>
    <row r="91" spans="1:7" ht="18.75" x14ac:dyDescent="0.3">
      <c r="A91">
        <v>12</v>
      </c>
      <c r="B91" s="49" t="s">
        <v>73</v>
      </c>
      <c r="C91" s="60"/>
      <c r="D91" s="51">
        <v>35000</v>
      </c>
      <c r="E91" s="16"/>
      <c r="F91" s="16"/>
      <c r="G91" s="14"/>
    </row>
    <row r="92" spans="1:7" ht="18.75" x14ac:dyDescent="0.3">
      <c r="A92">
        <v>13</v>
      </c>
      <c r="B92" s="49" t="s">
        <v>13</v>
      </c>
      <c r="C92" s="60"/>
      <c r="D92" s="51">
        <v>15000</v>
      </c>
      <c r="E92" s="16"/>
      <c r="F92" s="16"/>
      <c r="G92" s="14"/>
    </row>
    <row r="93" spans="1:7" ht="18.75" x14ac:dyDescent="0.3">
      <c r="A93">
        <v>14</v>
      </c>
      <c r="B93" s="49" t="s">
        <v>97</v>
      </c>
      <c r="C93" s="60"/>
      <c r="D93" s="51">
        <v>8000</v>
      </c>
      <c r="E93" s="16"/>
      <c r="F93" s="16"/>
      <c r="G93" s="14"/>
    </row>
    <row r="94" spans="1:7" ht="18.75" x14ac:dyDescent="0.3">
      <c r="A94">
        <v>15</v>
      </c>
      <c r="B94" s="49" t="s">
        <v>15</v>
      </c>
      <c r="C94" s="60"/>
      <c r="D94" s="51">
        <v>7000</v>
      </c>
      <c r="E94" s="16"/>
      <c r="F94" s="16"/>
      <c r="G94" s="14"/>
    </row>
    <row r="95" spans="1:7" ht="18.75" x14ac:dyDescent="0.3">
      <c r="A95">
        <v>16</v>
      </c>
      <c r="B95" s="49" t="s">
        <v>99</v>
      </c>
      <c r="C95" s="47" t="s">
        <v>100</v>
      </c>
      <c r="D95" s="51">
        <v>39000</v>
      </c>
      <c r="E95" s="47"/>
      <c r="F95" s="16"/>
      <c r="G95" s="14"/>
    </row>
    <row r="96" spans="1:7" ht="18.75" x14ac:dyDescent="0.3">
      <c r="A96">
        <v>17</v>
      </c>
      <c r="B96" s="49" t="s">
        <v>101</v>
      </c>
      <c r="C96" s="47" t="s">
        <v>83</v>
      </c>
      <c r="D96" s="51"/>
      <c r="E96" s="47"/>
      <c r="F96" s="16"/>
      <c r="G96" s="14"/>
    </row>
    <row r="97" spans="1:7" ht="18.75" x14ac:dyDescent="0.3">
      <c r="A97">
        <v>18</v>
      </c>
      <c r="B97" s="49" t="s">
        <v>102</v>
      </c>
      <c r="C97" s="47" t="s">
        <v>39</v>
      </c>
      <c r="D97" s="51">
        <v>3600</v>
      </c>
      <c r="E97" s="47"/>
      <c r="F97" s="16"/>
      <c r="G97" s="14"/>
    </row>
    <row r="98" spans="1:7" ht="18.75" x14ac:dyDescent="0.3">
      <c r="A98">
        <v>19</v>
      </c>
      <c r="B98" s="49" t="s">
        <v>103</v>
      </c>
      <c r="C98" s="47" t="s">
        <v>86</v>
      </c>
      <c r="D98" s="51">
        <v>12000</v>
      </c>
      <c r="E98" s="47"/>
      <c r="F98" s="16"/>
      <c r="G98" s="14"/>
    </row>
    <row r="99" spans="1:7" ht="18.75" x14ac:dyDescent="0.3">
      <c r="A99">
        <v>20</v>
      </c>
      <c r="B99" s="49" t="s">
        <v>66</v>
      </c>
      <c r="C99" s="47" t="s">
        <v>104</v>
      </c>
      <c r="D99" s="51">
        <v>2000</v>
      </c>
      <c r="E99" s="47"/>
      <c r="F99" s="16"/>
      <c r="G99" s="14"/>
    </row>
    <row r="100" spans="1:7" ht="18.75" x14ac:dyDescent="0.3">
      <c r="A100">
        <v>21</v>
      </c>
      <c r="B100" s="49" t="s">
        <v>112</v>
      </c>
      <c r="C100" s="59">
        <v>5</v>
      </c>
      <c r="D100" s="51">
        <v>1000</v>
      </c>
      <c r="E100" s="47"/>
      <c r="F100" s="16"/>
      <c r="G100" s="14"/>
    </row>
    <row r="101" spans="1:7" ht="18.75" x14ac:dyDescent="0.3">
      <c r="A101">
        <v>22</v>
      </c>
      <c r="B101" s="49" t="s">
        <v>105</v>
      </c>
      <c r="C101" s="47" t="s">
        <v>27</v>
      </c>
      <c r="D101" s="51"/>
      <c r="E101" s="16"/>
      <c r="F101" s="16"/>
      <c r="G101" s="14"/>
    </row>
    <row r="102" spans="1:7" ht="18.75" x14ac:dyDescent="0.3">
      <c r="A102">
        <v>23</v>
      </c>
      <c r="B102" s="49" t="s">
        <v>106</v>
      </c>
      <c r="C102" s="47" t="s">
        <v>27</v>
      </c>
      <c r="D102" s="51"/>
      <c r="E102" s="23"/>
      <c r="F102" s="16"/>
      <c r="G102" s="14"/>
    </row>
    <row r="103" spans="1:7" ht="18.75" x14ac:dyDescent="0.3">
      <c r="A103">
        <v>24</v>
      </c>
      <c r="B103" s="49" t="s">
        <v>107</v>
      </c>
      <c r="C103" s="47" t="s">
        <v>108</v>
      </c>
      <c r="D103" s="51"/>
      <c r="E103" s="47"/>
      <c r="F103" s="16"/>
      <c r="G103" s="14"/>
    </row>
    <row r="104" spans="1:7" ht="18.75" x14ac:dyDescent="0.3">
      <c r="A104">
        <v>25</v>
      </c>
      <c r="B104" s="33" t="s">
        <v>109</v>
      </c>
      <c r="C104" s="61" t="s">
        <v>83</v>
      </c>
      <c r="D104" s="54">
        <v>8000</v>
      </c>
      <c r="E104" s="16"/>
      <c r="F104" s="16"/>
      <c r="G104" s="14"/>
    </row>
    <row r="105" spans="1:7" ht="18.75" x14ac:dyDescent="0.3">
      <c r="A105">
        <v>26</v>
      </c>
      <c r="B105" s="33" t="s">
        <v>110</v>
      </c>
      <c r="C105" s="23" t="s">
        <v>116</v>
      </c>
      <c r="D105" s="51">
        <v>4000</v>
      </c>
      <c r="E105" s="47"/>
      <c r="F105" s="16"/>
      <c r="G105" s="14"/>
    </row>
    <row r="106" spans="1:7" ht="18.75" x14ac:dyDescent="0.3">
      <c r="A106">
        <v>27</v>
      </c>
      <c r="B106" s="33" t="s">
        <v>113</v>
      </c>
      <c r="C106" s="23" t="s">
        <v>111</v>
      </c>
      <c r="D106" s="51"/>
      <c r="E106" s="47"/>
      <c r="F106" s="16"/>
      <c r="G106" s="14"/>
    </row>
    <row r="107" spans="1:7" ht="18.75" x14ac:dyDescent="0.3">
      <c r="A107">
        <v>28</v>
      </c>
      <c r="B107" s="33" t="s">
        <v>10</v>
      </c>
      <c r="C107" s="23"/>
      <c r="D107" s="51">
        <v>3000</v>
      </c>
      <c r="E107" s="16"/>
      <c r="F107" s="16"/>
      <c r="G107" s="14"/>
    </row>
    <row r="108" spans="1:7" ht="18.75" x14ac:dyDescent="0.3">
      <c r="A108">
        <v>29</v>
      </c>
      <c r="B108" s="33" t="s">
        <v>11</v>
      </c>
      <c r="C108" s="23"/>
      <c r="D108" s="51">
        <v>3000</v>
      </c>
      <c r="E108" s="16"/>
      <c r="F108" s="16"/>
      <c r="G108" s="14"/>
    </row>
    <row r="109" spans="1:7" ht="18.75" x14ac:dyDescent="0.3">
      <c r="B109" s="33" t="s">
        <v>54</v>
      </c>
      <c r="C109" s="23"/>
      <c r="D109" s="51">
        <v>8000</v>
      </c>
      <c r="E109" s="16"/>
      <c r="F109" s="16"/>
      <c r="G109" s="14"/>
    </row>
    <row r="110" spans="1:7" ht="18.75" x14ac:dyDescent="0.3">
      <c r="B110" s="33" t="s">
        <v>118</v>
      </c>
      <c r="C110" s="23"/>
      <c r="D110" s="51">
        <v>5000</v>
      </c>
      <c r="E110" s="16"/>
      <c r="F110" s="16"/>
      <c r="G110" s="14"/>
    </row>
    <row r="111" spans="1:7" ht="18.75" x14ac:dyDescent="0.3">
      <c r="B111" s="33" t="s">
        <v>51</v>
      </c>
      <c r="C111" s="23"/>
      <c r="D111" s="51">
        <v>3000</v>
      </c>
      <c r="E111" s="23"/>
      <c r="F111" s="16"/>
      <c r="G111" s="14"/>
    </row>
    <row r="112" spans="1:7" ht="18.75" x14ac:dyDescent="0.3">
      <c r="B112" s="33"/>
      <c r="C112" s="23"/>
      <c r="D112" s="51"/>
      <c r="E112" s="23"/>
      <c r="F112" s="16"/>
      <c r="G112" s="14"/>
    </row>
    <row r="113" spans="2:7" ht="18.75" x14ac:dyDescent="0.3">
      <c r="B113" s="33" t="s">
        <v>119</v>
      </c>
      <c r="C113" s="23"/>
      <c r="D113" s="51">
        <v>4000</v>
      </c>
      <c r="E113" s="23"/>
      <c r="F113" s="16"/>
      <c r="G113" s="14"/>
    </row>
    <row r="114" spans="2:7" ht="18.75" x14ac:dyDescent="0.3">
      <c r="B114" s="33"/>
      <c r="C114" s="23"/>
      <c r="D114" s="51"/>
      <c r="E114" s="23"/>
      <c r="F114" s="16"/>
      <c r="G114" s="14"/>
    </row>
    <row r="115" spans="2:7" ht="18.75" x14ac:dyDescent="0.3">
      <c r="B115" s="33"/>
      <c r="C115" s="23"/>
      <c r="D115" s="51">
        <f>SUM(D79:D114)</f>
        <v>280600</v>
      </c>
      <c r="E115" s="16"/>
      <c r="F115" s="16"/>
      <c r="G115" s="14"/>
    </row>
    <row r="116" spans="2:7" ht="18.75" x14ac:dyDescent="0.3">
      <c r="B116" s="33"/>
      <c r="C116" s="23"/>
      <c r="D116" s="51"/>
      <c r="E116" s="16"/>
      <c r="F116" s="16"/>
      <c r="G116" s="14"/>
    </row>
    <row r="117" spans="2:7" ht="18.75" x14ac:dyDescent="0.3">
      <c r="B117" s="33" t="s">
        <v>114</v>
      </c>
      <c r="C117" s="23"/>
      <c r="D117" s="51">
        <v>21200</v>
      </c>
      <c r="E117" s="16"/>
      <c r="F117" s="16"/>
      <c r="G117" s="14"/>
    </row>
    <row r="118" spans="2:7" ht="23.25" x14ac:dyDescent="0.35">
      <c r="B118" s="33"/>
      <c r="C118" s="17"/>
      <c r="D118" s="48"/>
      <c r="E118" s="16"/>
      <c r="F118" s="16"/>
      <c r="G118" s="14"/>
    </row>
    <row r="119" spans="2:7" ht="23.25" x14ac:dyDescent="0.35">
      <c r="B119" s="33"/>
      <c r="C119" s="17"/>
      <c r="D119" s="48"/>
      <c r="E119" s="16"/>
      <c r="F119" s="16"/>
      <c r="G119" s="14"/>
    </row>
    <row r="120" spans="2:7" ht="21.75" thickBot="1" x14ac:dyDescent="0.4">
      <c r="B120" s="63" t="s">
        <v>115</v>
      </c>
      <c r="C120" s="55" t="s">
        <v>47</v>
      </c>
      <c r="D120" s="56">
        <f>D115-D117</f>
        <v>259400</v>
      </c>
      <c r="E120" s="57"/>
      <c r="F120" s="57"/>
      <c r="G120" s="57"/>
    </row>
    <row r="121" spans="2:7" ht="15.75" thickTop="1" x14ac:dyDescent="0.25"/>
  </sheetData>
  <pageMargins left="0.31" right="0.23" top="0.16" bottom="0.16" header="0.16" footer="0.16"/>
  <pageSetup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tabSelected="1" topLeftCell="A4" workbookViewId="0">
      <selection activeCell="D17" sqref="D17"/>
    </sheetView>
  </sheetViews>
  <sheetFormatPr defaultRowHeight="15" x14ac:dyDescent="0.25"/>
  <cols>
    <col min="1" max="1" width="3.5703125" customWidth="1"/>
    <col min="2" max="2" width="29" customWidth="1"/>
    <col min="3" max="3" width="12" style="75" customWidth="1"/>
    <col min="4" max="4" width="13.7109375" style="75" customWidth="1"/>
    <col min="5" max="5" width="15.140625" customWidth="1"/>
    <col min="6" max="6" width="10.5703125" customWidth="1"/>
    <col min="8" max="8" width="14.42578125" customWidth="1"/>
  </cols>
  <sheetData>
    <row r="1" spans="2:7" ht="15.75" x14ac:dyDescent="0.25">
      <c r="B1" s="41" t="s">
        <v>120</v>
      </c>
    </row>
    <row r="2" spans="2:7" ht="18.75" x14ac:dyDescent="0.3">
      <c r="B2" s="81" t="s">
        <v>121</v>
      </c>
      <c r="C2" s="68"/>
      <c r="D2" s="68"/>
      <c r="E2" s="13"/>
      <c r="F2" s="14"/>
      <c r="G2" s="14"/>
    </row>
    <row r="3" spans="2:7" x14ac:dyDescent="0.25">
      <c r="B3" s="14"/>
      <c r="C3" s="69"/>
      <c r="D3" s="69"/>
      <c r="E3" s="14"/>
      <c r="F3" s="14"/>
      <c r="G3" s="14"/>
    </row>
    <row r="4" spans="2:7" ht="16.5" thickBot="1" x14ac:dyDescent="0.3">
      <c r="B4" s="77" t="s">
        <v>0</v>
      </c>
      <c r="C4" s="78" t="s">
        <v>1</v>
      </c>
      <c r="D4" s="78" t="s">
        <v>2</v>
      </c>
      <c r="E4" s="77" t="s">
        <v>3</v>
      </c>
      <c r="F4" s="77" t="s">
        <v>4</v>
      </c>
      <c r="G4" s="79"/>
    </row>
    <row r="5" spans="2:7" ht="16.5" thickTop="1" x14ac:dyDescent="0.25">
      <c r="B5" s="17" t="s">
        <v>123</v>
      </c>
      <c r="C5" s="70" t="s">
        <v>27</v>
      </c>
      <c r="D5" s="76">
        <v>20000</v>
      </c>
      <c r="E5" s="16"/>
      <c r="F5" s="16"/>
      <c r="G5" s="14"/>
    </row>
    <row r="6" spans="2:7" ht="15.75" x14ac:dyDescent="0.25">
      <c r="B6" s="17" t="s">
        <v>124</v>
      </c>
      <c r="C6" s="70" t="s">
        <v>125</v>
      </c>
      <c r="D6" s="76">
        <v>20000</v>
      </c>
      <c r="E6" s="16"/>
      <c r="F6" s="16"/>
      <c r="G6" s="14"/>
    </row>
    <row r="7" spans="2:7" ht="15.75" x14ac:dyDescent="0.25">
      <c r="B7" s="19" t="s">
        <v>126</v>
      </c>
      <c r="C7" s="70"/>
      <c r="D7" s="76">
        <v>35000</v>
      </c>
      <c r="E7" s="16"/>
      <c r="F7" s="16"/>
      <c r="G7" s="14"/>
    </row>
    <row r="8" spans="2:7" ht="15.75" x14ac:dyDescent="0.25">
      <c r="B8" s="19" t="s">
        <v>127</v>
      </c>
      <c r="C8" s="70"/>
      <c r="D8" s="76">
        <v>15000</v>
      </c>
      <c r="E8" s="16"/>
      <c r="F8" s="16"/>
      <c r="G8" s="14"/>
    </row>
    <row r="9" spans="2:7" ht="15.75" x14ac:dyDescent="0.25">
      <c r="B9" s="19" t="s">
        <v>128</v>
      </c>
      <c r="C9" s="70" t="s">
        <v>129</v>
      </c>
      <c r="D9" s="76">
        <v>10000</v>
      </c>
      <c r="E9" s="16"/>
      <c r="F9" s="16"/>
      <c r="G9" s="14"/>
    </row>
    <row r="10" spans="2:7" ht="15.75" x14ac:dyDescent="0.25">
      <c r="B10" s="19" t="s">
        <v>37</v>
      </c>
      <c r="C10" s="70" t="s">
        <v>130</v>
      </c>
      <c r="D10" s="76">
        <v>13000</v>
      </c>
      <c r="E10" s="16"/>
      <c r="F10" s="16"/>
      <c r="G10" s="14"/>
    </row>
    <row r="11" spans="2:7" ht="15.75" x14ac:dyDescent="0.25">
      <c r="B11" s="19" t="s">
        <v>22</v>
      </c>
      <c r="C11" s="70" t="s">
        <v>131</v>
      </c>
      <c r="D11" s="76">
        <v>8000</v>
      </c>
      <c r="E11" s="16"/>
      <c r="F11" s="16"/>
      <c r="G11" s="14"/>
    </row>
    <row r="12" spans="2:7" ht="15.75" x14ac:dyDescent="0.25">
      <c r="B12" s="19" t="s">
        <v>132</v>
      </c>
      <c r="C12" s="70" t="s">
        <v>131</v>
      </c>
      <c r="D12" s="76">
        <v>9000</v>
      </c>
      <c r="E12" s="16"/>
      <c r="F12" s="16"/>
      <c r="G12" s="14"/>
    </row>
    <row r="13" spans="2:7" ht="15.75" x14ac:dyDescent="0.25">
      <c r="B13" s="19" t="s">
        <v>12</v>
      </c>
      <c r="C13" s="70"/>
      <c r="D13" s="76">
        <v>7000</v>
      </c>
      <c r="E13" s="16"/>
      <c r="F13" s="16"/>
      <c r="G13" s="14"/>
    </row>
    <row r="14" spans="2:7" ht="15.75" x14ac:dyDescent="0.25">
      <c r="B14" s="19" t="s">
        <v>17</v>
      </c>
      <c r="C14" s="70"/>
      <c r="D14" s="76">
        <v>8000</v>
      </c>
      <c r="E14" s="16"/>
      <c r="F14" s="16"/>
      <c r="G14" s="14"/>
    </row>
    <row r="15" spans="2:7" ht="15.75" x14ac:dyDescent="0.25">
      <c r="B15" s="19" t="s">
        <v>76</v>
      </c>
      <c r="C15" s="70"/>
      <c r="D15" s="76">
        <v>5000</v>
      </c>
      <c r="E15" s="16"/>
      <c r="F15" s="16"/>
      <c r="G15" s="14"/>
    </row>
    <row r="16" spans="2:7" ht="15.75" x14ac:dyDescent="0.25">
      <c r="B16" s="19" t="s">
        <v>77</v>
      </c>
      <c r="C16" s="70"/>
      <c r="D16" s="76">
        <v>5000</v>
      </c>
      <c r="E16" s="16"/>
      <c r="F16" s="16"/>
      <c r="G16" s="14"/>
    </row>
    <row r="17" spans="2:7" ht="15.75" x14ac:dyDescent="0.25">
      <c r="B17" s="19" t="s">
        <v>133</v>
      </c>
      <c r="C17" s="70"/>
      <c r="D17" s="76">
        <v>5000</v>
      </c>
      <c r="E17" s="16"/>
      <c r="F17" s="16"/>
      <c r="G17" s="14"/>
    </row>
    <row r="18" spans="2:7" ht="15.75" x14ac:dyDescent="0.25">
      <c r="B18" s="19" t="s">
        <v>134</v>
      </c>
      <c r="C18" s="70" t="s">
        <v>135</v>
      </c>
      <c r="D18" s="76">
        <v>25000</v>
      </c>
      <c r="E18" s="16"/>
      <c r="F18" s="16"/>
      <c r="G18" s="14"/>
    </row>
    <row r="19" spans="2:7" ht="15.75" x14ac:dyDescent="0.25">
      <c r="B19" s="19" t="s">
        <v>136</v>
      </c>
      <c r="C19" s="70" t="s">
        <v>39</v>
      </c>
      <c r="D19" s="76">
        <v>40000</v>
      </c>
      <c r="E19" s="16"/>
      <c r="F19" s="16"/>
      <c r="G19" s="14"/>
    </row>
    <row r="20" spans="2:7" ht="15.75" x14ac:dyDescent="0.25">
      <c r="B20" s="19" t="s">
        <v>14</v>
      </c>
      <c r="C20" s="70" t="s">
        <v>39</v>
      </c>
      <c r="D20" s="76">
        <v>30000</v>
      </c>
      <c r="E20" s="16"/>
      <c r="F20" s="16"/>
      <c r="G20" s="14"/>
    </row>
    <row r="21" spans="2:7" ht="15.75" x14ac:dyDescent="0.25">
      <c r="B21" s="19" t="s">
        <v>53</v>
      </c>
      <c r="C21" s="70" t="s">
        <v>39</v>
      </c>
      <c r="D21" s="76">
        <v>20000</v>
      </c>
      <c r="E21" s="16"/>
      <c r="F21" s="16"/>
      <c r="G21" s="14"/>
    </row>
    <row r="22" spans="2:7" ht="15.75" x14ac:dyDescent="0.25">
      <c r="B22" s="19" t="s">
        <v>137</v>
      </c>
      <c r="C22" s="70" t="s">
        <v>39</v>
      </c>
      <c r="D22" s="76">
        <v>3600</v>
      </c>
      <c r="E22" s="16"/>
      <c r="F22" s="16"/>
      <c r="G22" s="14"/>
    </row>
    <row r="23" spans="2:7" ht="15.75" x14ac:dyDescent="0.25">
      <c r="B23" s="19" t="s">
        <v>138</v>
      </c>
      <c r="C23" s="70" t="s">
        <v>139</v>
      </c>
      <c r="D23" s="76">
        <v>20000</v>
      </c>
      <c r="E23" s="16"/>
      <c r="F23" s="16"/>
      <c r="G23" s="14"/>
    </row>
    <row r="24" spans="2:7" ht="15.75" x14ac:dyDescent="0.25">
      <c r="B24" s="19" t="s">
        <v>21</v>
      </c>
      <c r="C24" s="70" t="s">
        <v>140</v>
      </c>
      <c r="D24" s="76">
        <v>6800</v>
      </c>
      <c r="E24" s="16"/>
      <c r="F24" s="16"/>
      <c r="G24" s="14"/>
    </row>
    <row r="25" spans="2:7" ht="15.75" x14ac:dyDescent="0.25">
      <c r="B25" s="17" t="s">
        <v>141</v>
      </c>
      <c r="C25" s="71" t="s">
        <v>142</v>
      </c>
      <c r="D25" s="76">
        <v>8000</v>
      </c>
      <c r="E25" s="16"/>
      <c r="F25" s="16"/>
      <c r="G25" s="14"/>
    </row>
    <row r="26" spans="2:7" ht="15.75" x14ac:dyDescent="0.25">
      <c r="B26" s="17" t="s">
        <v>143</v>
      </c>
      <c r="C26" s="70"/>
      <c r="D26" s="70">
        <v>5000</v>
      </c>
      <c r="E26" s="16"/>
      <c r="F26" s="16"/>
      <c r="G26" s="14"/>
    </row>
    <row r="27" spans="2:7" ht="15.75" x14ac:dyDescent="0.25">
      <c r="B27" s="17" t="s">
        <v>23</v>
      </c>
      <c r="C27" s="70"/>
      <c r="D27" s="76">
        <v>3000</v>
      </c>
      <c r="E27" s="16"/>
      <c r="F27" s="16"/>
      <c r="G27" s="14"/>
    </row>
    <row r="28" spans="2:7" ht="15.75" x14ac:dyDescent="0.25">
      <c r="B28" s="23" t="s">
        <v>25</v>
      </c>
      <c r="C28" s="70"/>
      <c r="D28" s="70"/>
      <c r="E28" s="16"/>
      <c r="F28" s="16"/>
      <c r="G28" s="14"/>
    </row>
    <row r="29" spans="2:7" ht="15.75" x14ac:dyDescent="0.25">
      <c r="B29" s="17"/>
      <c r="C29" s="70"/>
      <c r="D29" s="70"/>
      <c r="E29" s="16"/>
      <c r="F29" s="16"/>
      <c r="G29" s="14"/>
    </row>
    <row r="30" spans="2:7" ht="15.75" x14ac:dyDescent="0.25">
      <c r="B30" s="17" t="s">
        <v>144</v>
      </c>
      <c r="C30" s="70"/>
      <c r="D30" s="70"/>
      <c r="E30" s="16"/>
      <c r="F30" s="16"/>
      <c r="G30" s="14"/>
    </row>
    <row r="31" spans="2:7" ht="15.75" x14ac:dyDescent="0.25">
      <c r="B31" s="17" t="s">
        <v>145</v>
      </c>
      <c r="C31" s="70" t="s">
        <v>39</v>
      </c>
      <c r="D31" s="70"/>
      <c r="E31" s="16"/>
      <c r="F31" s="16"/>
      <c r="G31" s="14"/>
    </row>
    <row r="32" spans="2:7" ht="15.75" x14ac:dyDescent="0.25">
      <c r="B32" s="17" t="s">
        <v>26</v>
      </c>
      <c r="C32" s="70" t="s">
        <v>87</v>
      </c>
      <c r="D32" s="70"/>
      <c r="E32" s="16"/>
      <c r="F32" s="16"/>
      <c r="G32" s="14"/>
    </row>
    <row r="33" spans="2:7" ht="15.75" x14ac:dyDescent="0.25">
      <c r="B33" s="17" t="s">
        <v>80</v>
      </c>
      <c r="C33" s="70" t="s">
        <v>122</v>
      </c>
      <c r="D33" s="70"/>
      <c r="E33" s="16"/>
      <c r="F33" s="16"/>
      <c r="G33" s="14"/>
    </row>
    <row r="34" spans="2:7" ht="15.75" x14ac:dyDescent="0.25">
      <c r="B34" s="17" t="s">
        <v>56</v>
      </c>
      <c r="C34" s="70" t="s">
        <v>27</v>
      </c>
      <c r="D34" s="70"/>
      <c r="E34" s="16"/>
      <c r="F34" s="16"/>
      <c r="G34" s="14"/>
    </row>
    <row r="35" spans="2:7" ht="15.75" x14ac:dyDescent="0.25">
      <c r="B35" s="19" t="s">
        <v>29</v>
      </c>
      <c r="C35" s="70" t="s">
        <v>27</v>
      </c>
      <c r="D35" s="70"/>
      <c r="E35" s="16"/>
      <c r="F35" s="16"/>
      <c r="G35" s="14"/>
    </row>
    <row r="36" spans="2:7" ht="15.75" x14ac:dyDescent="0.25">
      <c r="B36" s="17" t="s">
        <v>49</v>
      </c>
      <c r="C36" s="70"/>
      <c r="D36" s="76">
        <v>4000</v>
      </c>
      <c r="E36" s="16"/>
      <c r="F36" s="16"/>
      <c r="G36" s="14"/>
    </row>
    <row r="37" spans="2:7" ht="21.75" thickBot="1" x14ac:dyDescent="0.4">
      <c r="B37" s="67"/>
      <c r="C37" s="72" t="s">
        <v>47</v>
      </c>
      <c r="D37" s="80">
        <f>SUM(D5:D36)</f>
        <v>325400</v>
      </c>
      <c r="E37" s="57"/>
      <c r="F37" s="57"/>
      <c r="G37" s="57"/>
    </row>
    <row r="38" spans="2:7" ht="15.75" thickTop="1" x14ac:dyDescent="0.25">
      <c r="B38" s="39"/>
      <c r="C38" s="73"/>
      <c r="D38" s="73"/>
      <c r="E38" s="39"/>
      <c r="F38" s="39"/>
      <c r="G38" s="39"/>
    </row>
    <row r="39" spans="2:7" x14ac:dyDescent="0.25">
      <c r="B39" s="45"/>
      <c r="C39" s="74"/>
      <c r="D39" s="74"/>
      <c r="E39" s="45"/>
      <c r="F39" s="45"/>
      <c r="G39" s="35"/>
    </row>
  </sheetData>
  <pageMargins left="0.37" right="0.23" top="0.39" bottom="0.47" header="0.3" footer="0.1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Weekly-03</vt:lpstr>
      <vt:lpstr>wkly mrk-13-04</vt:lpstr>
      <vt:lpstr>'Weekly-03'!Print_Area</vt:lpstr>
      <vt:lpstr>'wkly mrk-13-04'!Print_Area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cp:lastPrinted>2012-09-19T10:10:16Z</cp:lastPrinted>
  <dcterms:created xsi:type="dcterms:W3CDTF">2024-02-23T16:11:03Z</dcterms:created>
  <dcterms:modified xsi:type="dcterms:W3CDTF">2012-09-19T10:12:13Z</dcterms:modified>
</cp:coreProperties>
</file>